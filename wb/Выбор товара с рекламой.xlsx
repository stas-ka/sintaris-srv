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jects\workspace\hp\wb\"/>
    </mc:Choice>
  </mc:AlternateContent>
  <xr:revisionPtr revIDLastSave="0" documentId="8_{E3B4C887-A2E5-45B4-91FD-64F1A2381690}" xr6:coauthVersionLast="47" xr6:coauthVersionMax="47" xr10:uidLastSave="{00000000-0000-0000-0000-000000000000}"/>
  <bookViews>
    <workbookView xWindow="615" yWindow="1590" windowWidth="19815" windowHeight="11175" activeTab="1" xr2:uid="{00000000-000D-0000-FFFF-FFFF00000000}"/>
  </bookViews>
  <sheets>
    <sheet name="Инструкция" sheetId="1" r:id="rId1"/>
    <sheet name="Подбор товар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28" i="2" l="1"/>
  <c r="AW28" i="2"/>
  <c r="AY28" i="2" s="1"/>
  <c r="S28" i="2" s="1"/>
  <c r="AI28" i="2"/>
  <c r="M28" i="2"/>
  <c r="AY27" i="2"/>
  <c r="AX27" i="2"/>
  <c r="AW27" i="2"/>
  <c r="AI27" i="2"/>
  <c r="S27" i="2"/>
  <c r="AJ27" i="2" s="1"/>
  <c r="M27" i="2"/>
  <c r="AX26" i="2"/>
  <c r="AW26" i="2"/>
  <c r="AY26" i="2" s="1"/>
  <c r="S26" i="2" s="1"/>
  <c r="AI26" i="2"/>
  <c r="M26" i="2"/>
  <c r="AX25" i="2"/>
  <c r="AW25" i="2"/>
  <c r="AY25" i="2" s="1"/>
  <c r="S25" i="2" s="1"/>
  <c r="AI25" i="2"/>
  <c r="M25" i="2"/>
  <c r="AX24" i="2"/>
  <c r="AW24" i="2"/>
  <c r="AY24" i="2" s="1"/>
  <c r="S24" i="2" s="1"/>
  <c r="AI24" i="2"/>
  <c r="M24" i="2"/>
  <c r="AY23" i="2"/>
  <c r="AX23" i="2"/>
  <c r="AW23" i="2"/>
  <c r="AI23" i="2"/>
  <c r="S23" i="2"/>
  <c r="AJ23" i="2" s="1"/>
  <c r="M23" i="2"/>
  <c r="AX22" i="2"/>
  <c r="AW22" i="2"/>
  <c r="AY22" i="2" s="1"/>
  <c r="S22" i="2" s="1"/>
  <c r="AI22" i="2"/>
  <c r="M22" i="2"/>
  <c r="AX21" i="2"/>
  <c r="AW21" i="2"/>
  <c r="AY21" i="2" s="1"/>
  <c r="S21" i="2" s="1"/>
  <c r="AI21" i="2"/>
  <c r="M21" i="2"/>
  <c r="AX20" i="2"/>
  <c r="AW20" i="2"/>
  <c r="AY20" i="2" s="1"/>
  <c r="S20" i="2" s="1"/>
  <c r="AI20" i="2"/>
  <c r="M20" i="2"/>
  <c r="AY19" i="2"/>
  <c r="AX19" i="2"/>
  <c r="AW19" i="2"/>
  <c r="AI19" i="2"/>
  <c r="S19" i="2"/>
  <c r="AJ19" i="2" s="1"/>
  <c r="M19" i="2"/>
  <c r="AX18" i="2"/>
  <c r="AW18" i="2"/>
  <c r="AY18" i="2" s="1"/>
  <c r="S18" i="2" s="1"/>
  <c r="AI18" i="2"/>
  <c r="M18" i="2"/>
  <c r="AX17" i="2"/>
  <c r="AW17" i="2"/>
  <c r="AY17" i="2" s="1"/>
  <c r="S17" i="2" s="1"/>
  <c r="Y17" i="2"/>
  <c r="AI17" i="2" s="1"/>
  <c r="M17" i="2"/>
  <c r="AX16" i="2"/>
  <c r="AW16" i="2"/>
  <c r="AY16" i="2" s="1"/>
  <c r="S16" i="2" s="1"/>
  <c r="Y16" i="2"/>
  <c r="AI16" i="2" s="1"/>
  <c r="M16" i="2"/>
  <c r="AX15" i="2"/>
  <c r="AY15" i="2" s="1"/>
  <c r="S15" i="2" s="1"/>
  <c r="AW15" i="2"/>
  <c r="Y15" i="2"/>
  <c r="AI15" i="2" s="1"/>
  <c r="M15" i="2"/>
  <c r="AY14" i="2"/>
  <c r="S14" i="2" s="1"/>
  <c r="AX14" i="2"/>
  <c r="AW14" i="2"/>
  <c r="Y14" i="2"/>
  <c r="AI14" i="2" s="1"/>
  <c r="M14" i="2"/>
  <c r="AX13" i="2"/>
  <c r="AW13" i="2"/>
  <c r="AY13" i="2" s="1"/>
  <c r="S13" i="2" s="1"/>
  <c r="Y13" i="2"/>
  <c r="AI13" i="2" s="1"/>
  <c r="M13" i="2"/>
  <c r="AX12" i="2"/>
  <c r="AW12" i="2"/>
  <c r="AY12" i="2" s="1"/>
  <c r="S12" i="2" s="1"/>
  <c r="Y12" i="2"/>
  <c r="AI12" i="2" s="1"/>
  <c r="M12" i="2"/>
  <c r="AX11" i="2"/>
  <c r="AW11" i="2"/>
  <c r="AY11" i="2" s="1"/>
  <c r="S11" i="2" s="1"/>
  <c r="AI11" i="2"/>
  <c r="Y11" i="2"/>
  <c r="M11" i="2"/>
  <c r="AY10" i="2"/>
  <c r="AX10" i="2"/>
  <c r="AW10" i="2"/>
  <c r="Y10" i="2"/>
  <c r="AI10" i="2" s="1"/>
  <c r="S10" i="2"/>
  <c r="AJ10" i="2" s="1"/>
  <c r="M10" i="2"/>
  <c r="AY9" i="2"/>
  <c r="AX9" i="2"/>
  <c r="AW9" i="2"/>
  <c r="Y9" i="2"/>
  <c r="AI9" i="2" s="1"/>
  <c r="S9" i="2"/>
  <c r="AJ9" i="2" s="1"/>
  <c r="M9" i="2"/>
  <c r="AX8" i="2"/>
  <c r="AW8" i="2"/>
  <c r="AY8" i="2" s="1"/>
  <c r="S8" i="2" s="1"/>
  <c r="Y8" i="2"/>
  <c r="AI8" i="2" s="1"/>
  <c r="M8" i="2"/>
  <c r="AX7" i="2"/>
  <c r="AW7" i="2"/>
  <c r="AY7" i="2" s="1"/>
  <c r="S7" i="2" s="1"/>
  <c r="AI7" i="2"/>
  <c r="Y7" i="2"/>
  <c r="M7" i="2"/>
  <c r="AX6" i="2"/>
  <c r="AW6" i="2"/>
  <c r="AY6" i="2" s="1"/>
  <c r="S6" i="2" s="1"/>
  <c r="AI6" i="2"/>
  <c r="Y6" i="2"/>
  <c r="M6" i="2"/>
  <c r="AX5" i="2"/>
  <c r="AW5" i="2"/>
  <c r="AY5" i="2" s="1"/>
  <c r="S5" i="2" s="1"/>
  <c r="Y5" i="2"/>
  <c r="AI5" i="2" s="1"/>
  <c r="M5" i="2"/>
  <c r="AL19" i="2" l="1"/>
  <c r="AK19" i="2"/>
  <c r="AN19" i="2"/>
  <c r="AM19" i="2" s="1"/>
  <c r="AJ11" i="2"/>
  <c r="AH11" i="2"/>
  <c r="AL27" i="2"/>
  <c r="AK27" i="2"/>
  <c r="AN27" i="2"/>
  <c r="AM27" i="2" s="1"/>
  <c r="AJ20" i="2"/>
  <c r="AH20" i="2"/>
  <c r="AJ14" i="2"/>
  <c r="AH14" i="2"/>
  <c r="AL9" i="2"/>
  <c r="AN9" i="2"/>
  <c r="AM9" i="2" s="1"/>
  <c r="AK9" i="2"/>
  <c r="AH13" i="2"/>
  <c r="AJ13" i="2"/>
  <c r="AH18" i="2"/>
  <c r="AJ18" i="2"/>
  <c r="AJ8" i="2"/>
  <c r="AH8" i="2"/>
  <c r="AH22" i="2"/>
  <c r="AJ22" i="2"/>
  <c r="AL23" i="2"/>
  <c r="AK23" i="2"/>
  <c r="AN23" i="2"/>
  <c r="AM23" i="2" s="1"/>
  <c r="AJ12" i="2"/>
  <c r="AH12" i="2"/>
  <c r="AJ16" i="2"/>
  <c r="AH16" i="2"/>
  <c r="AJ6" i="2"/>
  <c r="AH6" i="2"/>
  <c r="AH17" i="2"/>
  <c r="AJ17" i="2"/>
  <c r="AH24" i="2"/>
  <c r="AJ24" i="2"/>
  <c r="AJ7" i="2"/>
  <c r="AH7" i="2"/>
  <c r="AH21" i="2"/>
  <c r="AJ21" i="2"/>
  <c r="AJ25" i="2"/>
  <c r="AH25" i="2"/>
  <c r="AJ5" i="2"/>
  <c r="AH5" i="2"/>
  <c r="AH26" i="2"/>
  <c r="AJ26" i="2"/>
  <c r="AH15" i="2"/>
  <c r="AJ15" i="2"/>
  <c r="AL10" i="2"/>
  <c r="AN10" i="2"/>
  <c r="AM10" i="2" s="1"/>
  <c r="AK10" i="2"/>
  <c r="AJ28" i="2"/>
  <c r="AH28" i="2"/>
  <c r="AH9" i="2"/>
  <c r="AH10" i="2"/>
  <c r="AH19" i="2"/>
  <c r="AH23" i="2"/>
  <c r="AH27" i="2"/>
  <c r="AN16" i="2" l="1"/>
  <c r="AM16" i="2" s="1"/>
  <c r="AL16" i="2"/>
  <c r="AK16" i="2"/>
  <c r="AN5" i="2"/>
  <c r="AM5" i="2" s="1"/>
  <c r="AK5" i="2"/>
  <c r="AL5" i="2"/>
  <c r="AN26" i="2"/>
  <c r="AM26" i="2" s="1"/>
  <c r="AL26" i="2"/>
  <c r="AK26" i="2"/>
  <c r="AN20" i="2"/>
  <c r="AM20" i="2" s="1"/>
  <c r="AL20" i="2"/>
  <c r="AK20" i="2"/>
  <c r="AK21" i="2"/>
  <c r="AN21" i="2"/>
  <c r="AM21" i="2" s="1"/>
  <c r="AL21" i="2"/>
  <c r="AL14" i="2"/>
  <c r="AK14" i="2"/>
  <c r="AN14" i="2"/>
  <c r="AM14" i="2" s="1"/>
  <c r="AN8" i="2"/>
  <c r="AM8" i="2" s="1"/>
  <c r="AL8" i="2"/>
  <c r="AK8" i="2"/>
  <c r="AL11" i="2"/>
  <c r="AK11" i="2"/>
  <c r="AN11" i="2"/>
  <c r="AM11" i="2" s="1"/>
  <c r="AN15" i="2"/>
  <c r="AM15" i="2" s="1"/>
  <c r="AK15" i="2"/>
  <c r="AL15" i="2"/>
  <c r="AN12" i="2"/>
  <c r="AM12" i="2" s="1"/>
  <c r="AL12" i="2"/>
  <c r="AK12" i="2"/>
  <c r="AL28" i="2"/>
  <c r="AN28" i="2"/>
  <c r="AM28" i="2" s="1"/>
  <c r="AK28" i="2"/>
  <c r="AN18" i="2"/>
  <c r="AM18" i="2" s="1"/>
  <c r="AL18" i="2"/>
  <c r="AK18" i="2"/>
  <c r="AK6" i="2"/>
  <c r="AL6" i="2"/>
  <c r="AN6" i="2"/>
  <c r="AM6" i="2" s="1"/>
  <c r="AK25" i="2"/>
  <c r="AN25" i="2"/>
  <c r="AM25" i="2" s="1"/>
  <c r="AL25" i="2"/>
  <c r="AL22" i="2"/>
  <c r="AN22" i="2"/>
  <c r="AM22" i="2" s="1"/>
  <c r="AK22" i="2"/>
  <c r="AN7" i="2"/>
  <c r="AM7" i="2" s="1"/>
  <c r="AL7" i="2"/>
  <c r="AK7" i="2"/>
  <c r="AN24" i="2"/>
  <c r="AM24" i="2" s="1"/>
  <c r="AL24" i="2"/>
  <c r="AK24" i="2"/>
  <c r="AL17" i="2"/>
  <c r="AN17" i="2"/>
  <c r="AM17" i="2" s="1"/>
  <c r="AK17" i="2"/>
  <c r="AN13" i="2"/>
  <c r="AM13" i="2" s="1"/>
  <c r="AL13" i="2"/>
  <c r="AK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A1" authorId="0" shapeId="0" xr:uid="{00000000-0006-0000-0100-000001000000}">
      <text>
        <r>
          <rPr>
            <sz val="10"/>
            <color rgb="FF000000"/>
            <rFont val="Arial"/>
            <scheme val="minor"/>
          </rPr>
          <t>Уточнить у Поставщиков данных 
услуг</t>
        </r>
      </text>
    </comment>
    <comment ref="AH1" authorId="0" shapeId="0" xr:uid="{00000000-0006-0000-0100-000002000000}">
      <text>
        <r>
          <rPr>
            <sz val="10"/>
            <color rgb="FF000000"/>
            <rFont val="Arial"/>
            <scheme val="minor"/>
          </rPr>
          <t>Авторасчет</t>
        </r>
      </text>
    </comment>
    <comment ref="AP1" authorId="0" shapeId="0" xr:uid="{00000000-0006-0000-0100-000003000000}">
      <text>
        <r>
          <rPr>
            <sz val="10"/>
            <color rgb="FF000000"/>
            <rFont val="Arial"/>
            <scheme val="minor"/>
          </rPr>
          <t>Курс проверяем и меняем каждый раз!</t>
        </r>
      </text>
    </comment>
    <comment ref="AS1" authorId="0" shapeId="0" xr:uid="{00000000-0006-0000-0100-000004000000}">
      <text>
        <r>
          <rPr>
            <sz val="10"/>
            <color rgb="FF000000"/>
            <rFont val="Arial"/>
            <scheme val="minor"/>
          </rPr>
          <t>Расширения для поиска товаров на 1688
https://www.aliprice.com/Index/
https://chromewebstore.google.com/detail/flg/dcfjmednflkgpadfgkdhphggnmmmodnb?hl=ru</t>
        </r>
      </text>
    </comment>
    <comment ref="D2" authorId="0" shapeId="0" xr:uid="{00000000-0006-0000-0100-000005000000}">
      <text>
        <r>
          <rPr>
            <sz val="10"/>
            <color rgb="FF000000"/>
            <rFont val="Arial"/>
            <scheme val="minor"/>
          </rPr>
          <t xml:space="preserve">https://wordstat.yandex.ru/#!/history
</t>
        </r>
      </text>
    </comment>
    <comment ref="E2" authorId="0" shapeId="0" xr:uid="{00000000-0006-0000-0100-000006000000}">
      <text>
        <r>
          <rPr>
            <sz val="10"/>
            <color rgb="FF000000"/>
            <rFont val="Arial"/>
            <scheme val="minor"/>
          </rPr>
          <t>Смотрим на Поисковой выдаче WB</t>
        </r>
      </text>
    </comment>
    <comment ref="G2" authorId="0" shapeId="0" xr:uid="{00000000-0006-0000-0100-000007000000}">
      <text>
        <r>
          <rPr>
            <sz val="10"/>
            <color rgb="FF000000"/>
            <rFont val="Arial"/>
            <scheme val="minor"/>
          </rPr>
          <t>Значение из раздела МГ "Категории"</t>
        </r>
      </text>
    </comment>
    <comment ref="H2" authorId="0" shapeId="0" xr:uid="{00000000-0006-0000-0100-000008000000}">
      <text>
        <r>
          <rPr>
            <sz val="10"/>
            <color rgb="FF000000"/>
            <rFont val="Arial"/>
            <scheme val="minor"/>
          </rPr>
          <t xml:space="preserve">Через раздел МГ -"Поисковые запросы" </t>
        </r>
      </text>
    </comment>
    <comment ref="N2" authorId="0" shapeId="0" xr:uid="{00000000-0006-0000-0100-000009000000}">
      <text>
        <r>
          <rPr>
            <sz val="10"/>
            <color rgb="FF000000"/>
            <rFont val="Arial"/>
            <scheme val="minor"/>
          </rPr>
          <t>Партеры МГ - https://club.marketguru.io/partners-new
и поиск в интернете.</t>
        </r>
      </text>
    </comment>
    <comment ref="P2" authorId="0" shapeId="0" xr:uid="{00000000-0006-0000-0100-00000A000000}">
      <text>
        <r>
          <rPr>
            <sz val="10"/>
            <color rgb="FF000000"/>
            <rFont val="Arial"/>
            <scheme val="minor"/>
          </rPr>
          <t>https://честныйзнак.рф/
Партеры МГ - https://club.marketguru.io/partners-new</t>
        </r>
      </text>
    </comment>
    <comment ref="R2" authorId="0" shapeId="0" xr:uid="{00000000-0006-0000-0100-00000B000000}">
      <text>
        <r>
          <rPr>
            <sz val="10"/>
            <color rgb="FF000000"/>
            <rFont val="Arial"/>
            <scheme val="minor"/>
          </rPr>
          <t>Расчеты формул в "Финансы"  идут по "Цене данного товара"</t>
        </r>
      </text>
    </comment>
    <comment ref="S2" authorId="0" shapeId="0" xr:uid="{00000000-0006-0000-0100-00000C000000}">
      <text>
        <r>
          <rPr>
            <sz val="10"/>
            <color rgb="FF000000"/>
            <rFont val="Arial"/>
            <scheme val="minor"/>
          </rPr>
          <t>Вносим цену, которая вышла с учетом всех расходов+себес по Китаю (столбец AW)
Если РФ - то заносим сюда свою цену поставщика РФ</t>
        </r>
      </text>
    </comment>
    <comment ref="U2" authorId="0" shapeId="0" xr:uid="{00000000-0006-0000-0100-00000D000000}">
      <text>
        <r>
          <rPr>
            <sz val="10"/>
            <color rgb="FF000000"/>
            <rFont val="Arial"/>
            <scheme val="minor"/>
          </rPr>
          <t>Вкладка Процент выкупа</t>
        </r>
      </text>
    </comment>
    <comment ref="V2" authorId="0" shapeId="0" xr:uid="{00000000-0006-0000-0100-00000E000000}">
      <text>
        <r>
          <rPr>
            <sz val="10"/>
            <color rgb="FF000000"/>
            <rFont val="Arial"/>
            <scheme val="minor"/>
          </rPr>
          <t>Раздел МГ - "Калькулятор прибыли на WB"</t>
        </r>
      </text>
    </comment>
    <comment ref="W2" authorId="0" shapeId="0" xr:uid="{00000000-0006-0000-0100-00000F000000}">
      <text>
        <r>
          <rPr>
            <sz val="10"/>
            <color rgb="FF000000"/>
            <rFont val="Arial"/>
            <scheme val="minor"/>
          </rPr>
          <t>Раздел МГ - "Калькулятор прибыли на WB"</t>
        </r>
      </text>
    </comment>
    <comment ref="X2" authorId="0" shapeId="0" xr:uid="{00000000-0006-0000-0100-000010000000}">
      <text>
        <r>
          <rPr>
            <sz val="10"/>
            <color rgb="FF000000"/>
            <rFont val="Arial"/>
            <scheme val="minor"/>
          </rPr>
          <t>Раздел МГ - "Калькулятор прибыли на WB"</t>
        </r>
      </text>
    </comment>
    <comment ref="Y2" authorId="0" shapeId="0" xr:uid="{00000000-0006-0000-0100-000011000000}">
      <text>
        <r>
          <rPr>
            <sz val="10"/>
            <color rgb="FF000000"/>
            <rFont val="Arial"/>
            <scheme val="minor"/>
          </rPr>
          <t>Авторасчет</t>
        </r>
      </text>
    </comment>
    <comment ref="AH2" authorId="0" shapeId="0" xr:uid="{00000000-0006-0000-0100-000012000000}">
      <text>
        <r>
          <rPr>
            <sz val="10"/>
            <color rgb="FF000000"/>
            <rFont val="Arial"/>
            <scheme val="minor"/>
          </rPr>
          <t>Общая сумма инвестиций в 1 ед. Себестоимость + Прочие расходы</t>
        </r>
      </text>
    </comment>
    <comment ref="AI2" authorId="0" shapeId="0" xr:uid="{00000000-0006-0000-0100-000013000000}">
      <text>
        <r>
          <rPr>
            <sz val="10"/>
            <color rgb="FF000000"/>
            <rFont val="Arial"/>
            <scheme val="minor"/>
          </rPr>
          <t>Сумма с вычетом комиссии, логистики и хранения Wildberries</t>
        </r>
      </text>
    </comment>
    <comment ref="AJ2" authorId="0" shapeId="0" xr:uid="{00000000-0006-0000-0100-000014000000}">
      <text>
        <r>
          <rPr>
            <sz val="10"/>
            <color rgb="FF000000"/>
            <rFont val="Arial"/>
            <scheme val="minor"/>
          </rPr>
          <t>Маржинальная прибыль</t>
        </r>
      </text>
    </comment>
    <comment ref="AK2" authorId="0" shapeId="0" xr:uid="{00000000-0006-0000-0100-000015000000}">
      <text>
        <r>
          <rPr>
            <sz val="10"/>
            <color rgb="FF000000"/>
            <rFont val="Arial"/>
            <scheme val="minor"/>
          </rPr>
          <t xml:space="preserve">Должна быть 30% и выше
</t>
        </r>
      </text>
    </comment>
    <comment ref="AL2" authorId="0" shapeId="0" xr:uid="{00000000-0006-0000-0100-000016000000}">
      <text>
        <r>
          <rPr>
            <sz val="10"/>
            <color rgb="FF000000"/>
            <rFont val="Arial"/>
            <scheme val="minor"/>
          </rPr>
          <t>Должен быть выше 100%</t>
        </r>
      </text>
    </comment>
    <comment ref="AM2" authorId="0" shapeId="0" xr:uid="{00000000-0006-0000-0100-000017000000}">
      <text>
        <r>
          <rPr>
            <sz val="10"/>
            <color rgb="FF000000"/>
            <rFont val="Arial"/>
            <scheme val="minor"/>
          </rPr>
          <t>Минимальная цена реализации
на Wildberries для исключения убытков</t>
        </r>
      </text>
    </comment>
    <comment ref="AN2" authorId="0" shapeId="0" xr:uid="{00000000-0006-0000-0100-000018000000}">
      <text>
        <r>
          <rPr>
            <sz val="10"/>
            <color rgb="FF000000"/>
            <rFont val="Arial"/>
            <scheme val="minor"/>
          </rPr>
          <t>Максимальное значение скидки
для исключения убытков</t>
        </r>
      </text>
    </comment>
    <comment ref="AS2" authorId="0" shapeId="0" xr:uid="{00000000-0006-0000-0100-000019000000}">
      <text>
        <r>
          <rPr>
            <sz val="10"/>
            <color rgb="FF000000"/>
            <rFont val="Arial"/>
            <scheme val="minor"/>
          </rPr>
          <t>Расширения для поиска товаров на 1688
https://www.aliprice.com/Index/
https://chromewebstore.google.com/detail/flg/dcfjmednflkgpadfgkdhphggnmmmodnb?hl=ru</t>
        </r>
      </text>
    </comment>
    <comment ref="AT2" authorId="0" shapeId="0" xr:uid="{00000000-0006-0000-0100-00001A000000}">
      <text>
        <r>
          <rPr>
            <sz val="10"/>
            <color rgb="FF000000"/>
            <rFont val="Arial"/>
            <scheme val="minor"/>
          </rPr>
          <t xml:space="preserve">Для Alibaba.com
</t>
        </r>
      </text>
    </comment>
    <comment ref="AU2" authorId="0" shapeId="0" xr:uid="{00000000-0006-0000-0100-00001B000000}">
      <text>
        <r>
          <rPr>
            <sz val="10"/>
            <color rgb="FF000000"/>
            <rFont val="Arial"/>
            <scheme val="minor"/>
          </rPr>
          <t>Смотрим на WB в карточке товара</t>
        </r>
      </text>
    </comment>
    <comment ref="AV2" authorId="0" shapeId="0" xr:uid="{00000000-0006-0000-0100-00001C000000}">
      <text>
        <r>
          <rPr>
            <sz val="10"/>
            <color rgb="FF000000"/>
            <rFont val="Arial"/>
            <scheme val="minor"/>
          </rPr>
          <t>Уточнять у Карго/Партнеров/ТК
~Помещается в ладони - 3$
~Чуть больше 3,5$
~Все что сильно больше 4$</t>
        </r>
      </text>
    </comment>
  </commentList>
</comments>
</file>

<file path=xl/sharedStrings.xml><?xml version="1.0" encoding="utf-8"?>
<sst xmlns="http://schemas.openxmlformats.org/spreadsheetml/2006/main" count="191" uniqueCount="97">
  <si>
    <r>
      <rPr>
        <i/>
        <sz val="12"/>
        <rFont val="Arial"/>
      </rPr>
      <t xml:space="preserve">Сервис аналитики для увеличения продаж на маркетплейсах </t>
    </r>
    <r>
      <rPr>
        <i/>
        <u/>
        <sz val="12"/>
        <color rgb="FF9F4AAD"/>
        <rFont val="Arial"/>
      </rPr>
      <t>MarketGuru.io</t>
    </r>
  </si>
  <si>
    <r>
      <rPr>
        <b/>
        <sz val="36"/>
        <color rgb="FFFFFFFF"/>
        <rFont val="Arial"/>
      </rPr>
      <t xml:space="preserve">КАК СОЗДАТЬ КОПИЮ ДОКУМЕНТА?
</t>
    </r>
    <r>
      <rPr>
        <sz val="10"/>
        <color rgb="FFFFFFFF"/>
        <rFont val="Arial"/>
      </rPr>
      <t>*это необходимо сделать, чтобы иметь возможность редактировать файл</t>
    </r>
  </si>
  <si>
    <r>
      <rPr>
        <b/>
        <sz val="14"/>
        <color rgb="FF9F4AAD"/>
        <rFont val="Arial"/>
      </rPr>
      <t>1 из 5.</t>
    </r>
    <r>
      <rPr>
        <b/>
        <sz val="14"/>
        <color rgb="FF9F4AAD"/>
        <rFont val="Arial"/>
      </rPr>
      <t xml:space="preserve"> В левом верхнем углу нажмите на "Файл".
</t>
    </r>
    <r>
      <rPr>
        <b/>
        <sz val="14"/>
        <color rgb="FF9F4AAD"/>
        <rFont val="Arial"/>
      </rPr>
      <t>2 из 5.</t>
    </r>
    <r>
      <rPr>
        <b/>
        <sz val="14"/>
        <color rgb="FF9F4AAD"/>
        <rFont val="Arial"/>
      </rPr>
      <t xml:space="preserve"> Нажмите "Создать копию".</t>
    </r>
  </si>
  <si>
    <r>
      <rPr>
        <b/>
        <sz val="14"/>
        <color rgb="FF9F4AAD"/>
        <rFont val="Arial"/>
      </rPr>
      <t>3 из 5.</t>
    </r>
    <r>
      <rPr>
        <b/>
        <sz val="14"/>
        <color rgb="FF9F4AAD"/>
        <rFont val="Arial"/>
      </rPr>
      <t xml:space="preserve"> В открывшемся окне, можете изменить навзвание документа, если вам так будет удобнее.
</t>
    </r>
    <r>
      <rPr>
        <b/>
        <sz val="14"/>
        <color rgb="FF9F4AAD"/>
        <rFont val="Arial"/>
      </rPr>
      <t>4 из 5.</t>
    </r>
    <r>
      <rPr>
        <b/>
        <sz val="14"/>
        <color rgb="FF9F4AAD"/>
        <rFont val="Arial"/>
      </rPr>
      <t xml:space="preserve"> В поле "Папка" можете выбрать определённую папку, куда скопируется этот документ.
</t>
    </r>
    <r>
      <rPr>
        <b/>
        <sz val="14"/>
        <color rgb="FF9F4AAD"/>
        <rFont val="Arial"/>
      </rPr>
      <t>5 из 5.</t>
    </r>
    <r>
      <rPr>
        <b/>
        <sz val="14"/>
        <color rgb="FF9F4AAD"/>
        <rFont val="Arial"/>
      </rPr>
      <t xml:space="preserve"> Нажмите "ОК".</t>
    </r>
  </si>
  <si>
    <t>с ♡ команда Market Guru</t>
  </si>
  <si>
    <t>Товар/поисковой запрос</t>
  </si>
  <si>
    <t>Потенциал рынка</t>
  </si>
  <si>
    <t>Маркетплейс</t>
  </si>
  <si>
    <t>Прочие расходы</t>
  </si>
  <si>
    <t>Финансы за 1 ед.</t>
  </si>
  <si>
    <t>Курс валют по банку</t>
  </si>
  <si>
    <t>Рассчеты по товару из Китая</t>
  </si>
  <si>
    <t>Ссылка на WB</t>
  </si>
  <si>
    <t>Есть сезонность по Яндекс.Wordstat?</t>
  </si>
  <si>
    <t>Кол-во копий товара</t>
  </si>
  <si>
    <t>Ссылка на поставщика</t>
  </si>
  <si>
    <t>% товаров с продажами</t>
  </si>
  <si>
    <t>Выручка за месяц в нише</t>
  </si>
  <si>
    <t xml:space="preserve">Частотность запроса </t>
  </si>
  <si>
    <t xml:space="preserve">Количество товаров </t>
  </si>
  <si>
    <t>Сумма кластеров</t>
  </si>
  <si>
    <t>Средняя ставка в рекламе у топ 30</t>
  </si>
  <si>
    <t>Cтоимость рекламы в день</t>
  </si>
  <si>
    <t>Разрешит.
документация</t>
  </si>
  <si>
    <t>Есть ли размерность?</t>
  </si>
  <si>
    <t>Нужна ли маркировка - честный знак?</t>
  </si>
  <si>
    <t>Цена данного товара</t>
  </si>
  <si>
    <t>Оптовая цена</t>
  </si>
  <si>
    <t>Процент
выкупа</t>
  </si>
  <si>
    <t>Комиссия WB</t>
  </si>
  <si>
    <t>Логистика</t>
  </si>
  <si>
    <t>Стоимость хранения в день</t>
  </si>
  <si>
    <t>Логистика ВБ с учетом возврата</t>
  </si>
  <si>
    <t>Стоимость упаковки 
1 ед.</t>
  </si>
  <si>
    <t>Логистика от производителя
1 ед.</t>
  </si>
  <si>
    <t>Логистика до склада WB
1 ед.</t>
  </si>
  <si>
    <t>Услуги
фулфилмента
_________
Прочие расх.</t>
  </si>
  <si>
    <t>Налог
УСН
(Доходы)</t>
  </si>
  <si>
    <t>Сумма
вложений</t>
  </si>
  <si>
    <t>Поступит
на р/с</t>
  </si>
  <si>
    <t>Чистая прибыль</t>
  </si>
  <si>
    <t xml:space="preserve">Маржинальность товара
</t>
  </si>
  <si>
    <t>Доходно
сть (возврат инвестиций)</t>
  </si>
  <si>
    <t>Минимально-допустимая
цена</t>
  </si>
  <si>
    <t>Максимальная скидка</t>
  </si>
  <si>
    <t>USD</t>
  </si>
  <si>
    <t>Стоимость товара
CNY</t>
  </si>
  <si>
    <t>Стоимость товара
$</t>
  </si>
  <si>
    <t>Вес товара (кг)</t>
  </si>
  <si>
    <t>Логистика
за 1 кг.
$</t>
  </si>
  <si>
    <t>Стоимость
товара
поставщика</t>
  </si>
  <si>
    <t>Стоимость
логистики
из Китая</t>
  </si>
  <si>
    <t xml:space="preserve">ИТОГО           Опт. цена
</t>
  </si>
  <si>
    <t>CNY</t>
  </si>
  <si>
    <t>фотоаппарат мыльница</t>
  </si>
  <si>
    <t>https://www.wildberries.ru/catalog/249654461/detail.aspx</t>
  </si>
  <si>
    <t>НЕТ</t>
  </si>
  <si>
    <t>до 5</t>
  </si>
  <si>
    <t>https://detail.1688.com/offer/794637080195.html?fromkv=cbuPcPlugin:imageSearchDrawer&amp;spm=a2639h.29135425.offerlist.i2&amp;source=action%23offerItem%3Borigin%23www.wildberries.ru&amp;amug_biz=oneself&amp;amug_fl_src=awakeId_982</t>
  </si>
  <si>
    <t>Отказное письмо или добровольный сертификат</t>
  </si>
  <si>
    <t>Акриловые маркеры</t>
  </si>
  <si>
    <t>https://www.wildberries.ru/catalog/197815559/detail.aspx</t>
  </si>
  <si>
    <t>https://detail.1688.com/offer/814818185985.html?fromkv=cbuPcPlugin:imageSearchDrawer&amp;spm=a2639h.29135425.offerlist.i3&amp;source=action%23offerItem%3Borigin%23www.wildberries.ru&amp;amug_biz=oneself&amp;amug_fl_src=awakeId_982</t>
  </si>
  <si>
    <t>массажер антицеллюлитный роликовый</t>
  </si>
  <si>
    <t>https://my.marketguru.io/wb/competitors/nomenclature/59196868/info?utm_source=extension</t>
  </si>
  <si>
    <t>https://detail.1688.com/offer/809013201324.html?share_token=R71r17qYc6WiMvrgm6ETwX+nJ0pAN32GA3rUJ95giDzXWur+BVSW0g==&amp;__share_id=cd1ade41-67ad-4f02-bb2f-f9aa00a7976b&amp;rpg-cnt=share.offerDetail&amp;offerId=809013201324&amp;__zhi_token=C7DYV8p80H1ax&amp;spm=a262eq.8992535/20250330.5103953.0</t>
  </si>
  <si>
    <t>ДА</t>
  </si>
  <si>
    <t>до 19</t>
  </si>
  <si>
    <t>Сертификат соответствия</t>
  </si>
  <si>
    <t>Костюм домашний женский с брюками</t>
  </si>
  <si>
    <t>https://www.wildberries.ru/catalog/274465547/detail.aspx</t>
  </si>
  <si>
    <t>до 50</t>
  </si>
  <si>
    <t>https://detail.1688.com/offer/859335072684.html?spm=a26352.b28411319.offerlist.78.7b001e62pNzQCR</t>
  </si>
  <si>
    <t>Костюм спортивный спорт шик</t>
  </si>
  <si>
    <t>https://www.wildberries.ru/catalog/230511876/detail.aspx</t>
  </si>
  <si>
    <t>до 15</t>
  </si>
  <si>
    <t>https://detail.1688.com/offer/895180902348.html?fromkv=cbuPcPlugin:imageSearchDrawer&amp;spm=a2639h.29135425.offerlist.i2&amp;source=action%23offerItem%3Borigin%23www.wildberries.ru&amp;amug_biz=oneself&amp;amug_fl_src=awakeId_982</t>
  </si>
  <si>
    <t>Комплект нижнего белья прозрачное сетка</t>
  </si>
  <si>
    <t>https://www.wildberries.ru/catalog/281827075/detail.aspx</t>
  </si>
  <si>
    <t>https://detail.1688.com/offer/822269285523.html?fromkv=cbuPcPlugin:imageSearchDrawer&amp;spm=a2639h.29135425.offerlist.i32&amp;source=action%23offerItem%3Borigin%23www.wildberries.ru&amp;amug_biz=oneself&amp;amug_fl_src=awakeId_982</t>
  </si>
  <si>
    <t>до 23</t>
  </si>
  <si>
    <t>до 24</t>
  </si>
  <si>
    <t>до 25</t>
  </si>
  <si>
    <t>до 26</t>
  </si>
  <si>
    <t>до 27</t>
  </si>
  <si>
    <t>до 28</t>
  </si>
  <si>
    <t>до 29</t>
  </si>
  <si>
    <t>до 30</t>
  </si>
  <si>
    <t>до 31</t>
  </si>
  <si>
    <t>до 32</t>
  </si>
  <si>
    <t>до 33</t>
  </si>
  <si>
    <t>до 34</t>
  </si>
  <si>
    <t>до 35</t>
  </si>
  <si>
    <t>до 36</t>
  </si>
  <si>
    <t>до 37</t>
  </si>
  <si>
    <t>до 38</t>
  </si>
  <si>
    <t>до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</si>
</sst>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р.-419]#,##0.00"/>
  </numFmts>
  <fonts count="40" x14ac:knownFonts="1">
    <font>
      <sz val="10"/>
      <color rgb="FF000000"/>
      <name val="Arial"/>
      <scheme val="minor"/>
    </font>
    <font>
      <i/>
      <u/>
      <sz val="12"/>
      <color rgb="FF0000FF"/>
      <name val="Arial"/>
    </font>
    <font>
      <b/>
      <sz val="36"/>
      <color rgb="FFFFFFFF"/>
      <name val="Arial"/>
    </font>
    <font>
      <sz val="10"/>
      <color theme="1"/>
      <name val="Arial"/>
    </font>
    <font>
      <b/>
      <sz val="14"/>
      <color rgb="FF9F4AAD"/>
      <name val="Arial"/>
    </font>
    <font>
      <sz val="14"/>
      <color rgb="FFCCCCCC"/>
      <name val="Arial"/>
    </font>
    <font>
      <b/>
      <sz val="14"/>
      <color rgb="FFFFFFFF"/>
      <name val="Arial"/>
      <scheme val="minor"/>
    </font>
    <font>
      <b/>
      <sz val="11"/>
      <color rgb="FFFFFFFF"/>
      <name val="Arial"/>
      <scheme val="minor"/>
    </font>
    <font>
      <sz val="10"/>
      <name val="Arial"/>
    </font>
    <font>
      <b/>
      <sz val="14"/>
      <color rgb="FFFFFFFF"/>
      <name val="Arial"/>
    </font>
    <font>
      <b/>
      <u/>
      <sz val="11"/>
      <color rgb="FFFFFFFF"/>
      <name val="Arial"/>
    </font>
    <font>
      <b/>
      <u/>
      <sz val="11"/>
      <color rgb="FFFFFFFF"/>
      <name val="Arial"/>
    </font>
    <font>
      <b/>
      <u/>
      <sz val="11"/>
      <color rgb="FFFFFFFF"/>
      <name val="Arial"/>
    </font>
    <font>
      <b/>
      <u/>
      <sz val="11"/>
      <color rgb="FFFFFFFF"/>
      <name val="Arial"/>
    </font>
    <font>
      <b/>
      <sz val="10"/>
      <color rgb="FFFFFFFF"/>
      <name val="Arial"/>
      <scheme val="minor"/>
    </font>
    <font>
      <b/>
      <sz val="10"/>
      <color theme="0"/>
      <name val="Arial"/>
      <scheme val="minor"/>
    </font>
    <font>
      <b/>
      <sz val="10"/>
      <color rgb="FFFFFFFF"/>
      <name val="Arial"/>
      <scheme val="minor"/>
    </font>
    <font>
      <b/>
      <sz val="10"/>
      <color rgb="FFFFFFFF"/>
      <name val="Arial"/>
    </font>
    <font>
      <b/>
      <sz val="10"/>
      <color theme="1"/>
      <name val="Arial"/>
      <scheme val="minor"/>
    </font>
    <font>
      <u/>
      <sz val="10"/>
      <color rgb="FF1155CC"/>
      <name val="Arial"/>
      <scheme val="minor"/>
    </font>
    <font>
      <u/>
      <sz val="10"/>
      <color rgb="FF1155CC"/>
      <name val="Arial"/>
      <scheme val="minor"/>
    </font>
    <font>
      <sz val="10"/>
      <color theme="1"/>
      <name val="Arial"/>
      <scheme val="minor"/>
    </font>
    <font>
      <sz val="12"/>
      <color theme="1"/>
      <name val="Calibri"/>
    </font>
    <font>
      <sz val="11"/>
      <color rgb="FF000000"/>
      <name val="Inconsolata"/>
    </font>
    <font>
      <b/>
      <sz val="10"/>
      <color theme="1"/>
      <name val="Arial"/>
    </font>
    <font>
      <u/>
      <sz val="10"/>
      <color rgb="FF1155CC"/>
      <name val="Arial"/>
      <scheme val="minor"/>
    </font>
    <font>
      <u/>
      <sz val="10"/>
      <color rgb="FF1155CC"/>
      <name val="Arial"/>
    </font>
    <font>
      <u/>
      <sz val="10"/>
      <color rgb="FF1155CC"/>
      <name val="Arial"/>
      <scheme val="minor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  <scheme val="minor"/>
    </font>
    <font>
      <sz val="11"/>
      <color theme="1"/>
      <name val="Inconsolata"/>
    </font>
    <font>
      <i/>
      <sz val="12"/>
      <name val="Arial"/>
    </font>
    <font>
      <i/>
      <u/>
      <sz val="12"/>
      <color rgb="FF9F4AAD"/>
      <name val="Arial"/>
    </font>
    <font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9F4AAD"/>
        <bgColor rgb="FF9F4AAD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</fills>
  <borders count="29">
    <border>
      <left/>
      <right/>
      <top/>
      <bottom/>
      <diagonal/>
    </border>
    <border>
      <left style="medium">
        <color rgb="FFF3F3F3"/>
      </left>
      <right style="medium">
        <color rgb="FFF3F3F3"/>
      </right>
      <top/>
      <bottom style="medium">
        <color rgb="FFF3F3F3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hair">
        <color rgb="FFFFFFFF"/>
      </right>
      <top style="hair">
        <color rgb="FFFFFFFF"/>
      </top>
      <bottom style="hair">
        <color rgb="FFFFFFFF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hair">
        <color rgb="FF000000"/>
      </right>
      <top style="thin">
        <color rgb="FFFFFFFF"/>
      </top>
      <bottom style="thin">
        <color rgb="FFFFFFFF"/>
      </bottom>
      <diagonal/>
    </border>
    <border>
      <left style="hair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hair">
        <color rgb="FF000000"/>
      </right>
      <top style="thin">
        <color rgb="FFFFFFFF"/>
      </top>
      <bottom/>
      <diagonal/>
    </border>
    <border>
      <left style="hair">
        <color rgb="FF000000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FFFFFF"/>
      </left>
      <right style="thin">
        <color rgb="FFFFFFFF"/>
      </right>
      <top/>
      <bottom style="hair">
        <color rgb="FF000000"/>
      </bottom>
      <diagonal/>
    </border>
    <border>
      <left style="hair">
        <color rgb="FF000000"/>
      </left>
      <right style="thin">
        <color rgb="FFFFFFFF"/>
      </right>
      <top/>
      <bottom style="hair">
        <color rgb="FF000000"/>
      </bottom>
      <diagonal/>
    </border>
    <border>
      <left style="thin">
        <color rgb="FFFFFFFF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/>
      <top/>
      <bottom style="hair">
        <color rgb="FF000000"/>
      </bottom>
      <diagonal/>
    </border>
    <border>
      <left/>
      <right style="thin">
        <color rgb="FFFFFFFF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5" fillId="2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3" fontId="7" fillId="4" borderId="4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3" fontId="7" fillId="4" borderId="13" xfId="0" applyNumberFormat="1" applyFont="1" applyFill="1" applyBorder="1" applyAlignment="1">
      <alignment horizontal="center" vertical="center"/>
    </xf>
    <xf numFmtId="3" fontId="7" fillId="4" borderId="10" xfId="0" applyNumberFormat="1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4" fontId="15" fillId="3" borderId="5" xfId="0" applyNumberFormat="1" applyFont="1" applyFill="1" applyBorder="1" applyAlignment="1">
      <alignment horizontal="center" vertical="center"/>
    </xf>
    <xf numFmtId="164" fontId="16" fillId="3" borderId="5" xfId="0" applyNumberFormat="1" applyFont="1" applyFill="1" applyBorder="1" applyAlignment="1">
      <alignment horizontal="center" vertical="center"/>
    </xf>
    <xf numFmtId="164" fontId="15" fillId="4" borderId="5" xfId="0" applyNumberFormat="1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 wrapText="1"/>
    </xf>
    <xf numFmtId="4" fontId="16" fillId="3" borderId="11" xfId="0" applyNumberFormat="1" applyFont="1" applyFill="1" applyBorder="1" applyAlignment="1">
      <alignment horizontal="center" vertical="center"/>
    </xf>
    <xf numFmtId="164" fontId="16" fillId="3" borderId="11" xfId="0" applyNumberFormat="1" applyFont="1" applyFill="1" applyBorder="1" applyAlignment="1">
      <alignment horizontal="center" vertical="center"/>
    </xf>
    <xf numFmtId="164" fontId="16" fillId="4" borderId="5" xfId="0" applyNumberFormat="1" applyFont="1" applyFill="1" applyBorder="1" applyAlignment="1">
      <alignment horizontal="center" vertical="center"/>
    </xf>
    <xf numFmtId="0" fontId="18" fillId="0" borderId="26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26" xfId="0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9" fontId="21" fillId="0" borderId="26" xfId="0" applyNumberFormat="1" applyFont="1" applyBorder="1" applyAlignment="1">
      <alignment horizontal="center"/>
    </xf>
    <xf numFmtId="3" fontId="22" fillId="0" borderId="26" xfId="0" applyNumberFormat="1" applyFont="1" applyBorder="1" applyAlignment="1">
      <alignment horizontal="center"/>
    </xf>
    <xf numFmtId="3" fontId="21" fillId="0" borderId="26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3" fontId="21" fillId="0" borderId="0" xfId="0" applyNumberFormat="1" applyFont="1" applyAlignment="1">
      <alignment horizontal="center"/>
    </xf>
    <xf numFmtId="3" fontId="18" fillId="0" borderId="26" xfId="0" applyNumberFormat="1" applyFont="1" applyBorder="1" applyAlignment="1">
      <alignment horizontal="center"/>
    </xf>
    <xf numFmtId="3" fontId="18" fillId="0" borderId="27" xfId="0" applyNumberFormat="1" applyFont="1" applyBorder="1" applyAlignment="1">
      <alignment horizontal="center"/>
    </xf>
    <xf numFmtId="4" fontId="21" fillId="0" borderId="26" xfId="0" applyNumberFormat="1" applyFont="1" applyBorder="1" applyAlignment="1">
      <alignment horizontal="center"/>
    </xf>
    <xf numFmtId="3" fontId="23" fillId="0" borderId="26" xfId="0" applyNumberFormat="1" applyFont="1" applyBorder="1" applyAlignment="1">
      <alignment horizontal="center"/>
    </xf>
    <xf numFmtId="3" fontId="21" fillId="0" borderId="27" xfId="0" applyNumberFormat="1" applyFont="1" applyBorder="1" applyAlignment="1">
      <alignment horizontal="center"/>
    </xf>
    <xf numFmtId="9" fontId="3" fillId="0" borderId="26" xfId="0" applyNumberFormat="1" applyFont="1" applyBorder="1" applyAlignment="1">
      <alignment horizontal="center"/>
    </xf>
    <xf numFmtId="9" fontId="21" fillId="0" borderId="27" xfId="0" applyNumberFormat="1" applyFont="1" applyBorder="1" applyAlignment="1">
      <alignment horizontal="center"/>
    </xf>
    <xf numFmtId="9" fontId="21" fillId="0" borderId="0" xfId="0" applyNumberFormat="1" applyFont="1" applyAlignment="1">
      <alignment horizontal="center"/>
    </xf>
    <xf numFmtId="3" fontId="3" fillId="0" borderId="28" xfId="0" applyNumberFormat="1" applyFont="1" applyBorder="1" applyAlignment="1">
      <alignment horizontal="center"/>
    </xf>
    <xf numFmtId="3" fontId="24" fillId="0" borderId="28" xfId="0" applyNumberFormat="1" applyFont="1" applyBorder="1" applyAlignment="1">
      <alignment horizontal="center"/>
    </xf>
    <xf numFmtId="9" fontId="24" fillId="0" borderId="28" xfId="0" applyNumberFormat="1" applyFont="1" applyBorder="1" applyAlignment="1">
      <alignment horizontal="center"/>
    </xf>
    <xf numFmtId="9" fontId="3" fillId="0" borderId="28" xfId="0" applyNumberFormat="1" applyFont="1" applyBorder="1" applyAlignment="1">
      <alignment horizontal="center"/>
    </xf>
    <xf numFmtId="9" fontId="21" fillId="0" borderId="7" xfId="0" applyNumberFormat="1" applyFont="1" applyBorder="1" applyAlignment="1">
      <alignment horizontal="center"/>
    </xf>
    <xf numFmtId="4" fontId="21" fillId="0" borderId="7" xfId="0" applyNumberFormat="1" applyFont="1" applyBorder="1" applyAlignment="1">
      <alignment horizontal="center"/>
    </xf>
    <xf numFmtId="4" fontId="21" fillId="0" borderId="6" xfId="0" applyNumberFormat="1" applyFont="1" applyBorder="1" applyAlignment="1">
      <alignment horizontal="center"/>
    </xf>
    <xf numFmtId="2" fontId="21" fillId="0" borderId="26" xfId="0" applyNumberFormat="1" applyFont="1" applyBorder="1" applyAlignment="1">
      <alignment horizontal="center"/>
    </xf>
    <xf numFmtId="4" fontId="18" fillId="0" borderId="26" xfId="0" applyNumberFormat="1" applyFont="1" applyBorder="1" applyAlignment="1">
      <alignment horizontal="center"/>
    </xf>
    <xf numFmtId="4" fontId="21" fillId="0" borderId="0" xfId="0" applyNumberFormat="1" applyFont="1" applyAlignment="1">
      <alignment horizontal="center"/>
    </xf>
    <xf numFmtId="0" fontId="18" fillId="5" borderId="26" xfId="0" applyFont="1" applyFill="1" applyBorder="1" applyAlignment="1">
      <alignment horizontal="center"/>
    </xf>
    <xf numFmtId="0" fontId="25" fillId="0" borderId="27" xfId="0" applyFont="1" applyBorder="1" applyAlignment="1">
      <alignment horizontal="center"/>
    </xf>
    <xf numFmtId="0" fontId="26" fillId="0" borderId="26" xfId="0" applyFont="1" applyBorder="1" applyAlignment="1">
      <alignment horizontal="center"/>
    </xf>
    <xf numFmtId="9" fontId="3" fillId="0" borderId="26" xfId="0" applyNumberFormat="1" applyFont="1" applyBorder="1" applyAlignment="1">
      <alignment horizontal="center"/>
    </xf>
    <xf numFmtId="4" fontId="21" fillId="0" borderId="8" xfId="0" applyNumberFormat="1" applyFont="1" applyBorder="1" applyAlignment="1">
      <alignment horizontal="center"/>
    </xf>
    <xf numFmtId="0" fontId="18" fillId="6" borderId="26" xfId="0" applyFont="1" applyFill="1" applyBorder="1" applyAlignment="1">
      <alignment horizontal="center"/>
    </xf>
    <xf numFmtId="0" fontId="27" fillId="0" borderId="27" xfId="0" applyFont="1" applyBorder="1" applyAlignment="1"/>
    <xf numFmtId="0" fontId="28" fillId="0" borderId="26" xfId="0" applyFont="1" applyBorder="1" applyAlignment="1"/>
    <xf numFmtId="0" fontId="24" fillId="7" borderId="26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9" fillId="0" borderId="26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24" fillId="0" borderId="26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4" fontId="3" fillId="0" borderId="26" xfId="0" applyNumberFormat="1" applyFont="1" applyBorder="1" applyAlignment="1">
      <alignment horizontal="center"/>
    </xf>
    <xf numFmtId="9" fontId="3" fillId="0" borderId="2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9" fontId="3" fillId="0" borderId="7" xfId="0" applyNumberFormat="1" applyFont="1" applyBorder="1" applyAlignment="1">
      <alignment horizontal="center"/>
    </xf>
    <xf numFmtId="4" fontId="3" fillId="0" borderId="7" xfId="0" applyNumberFormat="1" applyFont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4" fontId="3" fillId="0" borderId="26" xfId="0" applyNumberFormat="1" applyFont="1" applyBorder="1" applyAlignment="1">
      <alignment horizontal="center"/>
    </xf>
    <xf numFmtId="2" fontId="3" fillId="0" borderId="26" xfId="0" applyNumberFormat="1" applyFont="1" applyBorder="1" applyAlignment="1">
      <alignment horizontal="center"/>
    </xf>
    <xf numFmtId="4" fontId="3" fillId="0" borderId="0" xfId="0" applyNumberFormat="1" applyFont="1" applyAlignment="1">
      <alignment horizontal="center"/>
    </xf>
    <xf numFmtId="0" fontId="24" fillId="0" borderId="26" xfId="0" applyFont="1" applyBorder="1" applyAlignment="1">
      <alignment horizontal="center"/>
    </xf>
    <xf numFmtId="0" fontId="3" fillId="0" borderId="27" xfId="0" applyFont="1" applyBorder="1" applyAlignment="1"/>
    <xf numFmtId="0" fontId="31" fillId="0" borderId="26" xfId="0" applyFont="1" applyBorder="1" applyAlignment="1"/>
    <xf numFmtId="0" fontId="32" fillId="0" borderId="26" xfId="0" applyFont="1" applyBorder="1" applyAlignment="1">
      <alignment horizontal="center"/>
    </xf>
    <xf numFmtId="3" fontId="22" fillId="0" borderId="26" xfId="0" applyNumberFormat="1" applyFont="1" applyBorder="1" applyAlignment="1">
      <alignment horizontal="center"/>
    </xf>
    <xf numFmtId="3" fontId="3" fillId="0" borderId="27" xfId="0" applyNumberFormat="1" applyFont="1" applyBorder="1" applyAlignment="1"/>
    <xf numFmtId="3" fontId="24" fillId="0" borderId="26" xfId="0" applyNumberFormat="1" applyFont="1" applyBorder="1" applyAlignment="1">
      <alignment horizontal="center"/>
    </xf>
    <xf numFmtId="9" fontId="3" fillId="0" borderId="27" xfId="0" applyNumberFormat="1" applyFont="1" applyBorder="1" applyAlignment="1"/>
    <xf numFmtId="9" fontId="3" fillId="0" borderId="0" xfId="0" applyNumberFormat="1" applyFont="1" applyAlignment="1"/>
    <xf numFmtId="9" fontId="3" fillId="0" borderId="7" xfId="0" applyNumberFormat="1" applyFont="1" applyBorder="1" applyAlignment="1"/>
    <xf numFmtId="4" fontId="3" fillId="0" borderId="7" xfId="0" applyNumberFormat="1" applyFont="1" applyBorder="1" applyAlignment="1"/>
    <xf numFmtId="4" fontId="3" fillId="0" borderId="6" xfId="0" applyNumberFormat="1" applyFont="1" applyBorder="1" applyAlignment="1"/>
    <xf numFmtId="4" fontId="3" fillId="0" borderId="26" xfId="0" applyNumberFormat="1" applyFont="1" applyBorder="1" applyAlignment="1"/>
    <xf numFmtId="2" fontId="3" fillId="0" borderId="26" xfId="0" applyNumberFormat="1" applyFont="1" applyBorder="1" applyAlignment="1">
      <alignment horizontal="center"/>
    </xf>
    <xf numFmtId="4" fontId="3" fillId="0" borderId="8" xfId="0" applyNumberFormat="1" applyFont="1" applyBorder="1" applyAlignment="1"/>
    <xf numFmtId="0" fontId="33" fillId="4" borderId="26" xfId="0" applyFont="1" applyFill="1" applyBorder="1" applyAlignment="1"/>
    <xf numFmtId="0" fontId="34" fillId="0" borderId="26" xfId="0" applyFont="1" applyBorder="1" applyAlignment="1">
      <alignment horizontal="center"/>
    </xf>
    <xf numFmtId="0" fontId="21" fillId="0" borderId="26" xfId="0" applyFont="1" applyBorder="1" applyAlignment="1"/>
    <xf numFmtId="0" fontId="35" fillId="0" borderId="26" xfId="0" applyFont="1" applyBorder="1" applyAlignment="1"/>
    <xf numFmtId="0" fontId="3" fillId="0" borderId="26" xfId="0" applyFont="1" applyBorder="1" applyAlignment="1"/>
    <xf numFmtId="0" fontId="3" fillId="0" borderId="0" xfId="0" applyFont="1" applyAlignment="1"/>
    <xf numFmtId="164" fontId="3" fillId="0" borderId="26" xfId="0" applyNumberFormat="1" applyFont="1" applyBorder="1" applyAlignment="1">
      <alignment horizontal="center"/>
    </xf>
    <xf numFmtId="3" fontId="3" fillId="0" borderId="0" xfId="0" applyNumberFormat="1" applyFont="1" applyAlignment="1"/>
    <xf numFmtId="3" fontId="36" fillId="0" borderId="26" xfId="0" applyNumberFormat="1" applyFont="1" applyBorder="1" applyAlignment="1">
      <alignment horizontal="center"/>
    </xf>
    <xf numFmtId="3" fontId="3" fillId="0" borderId="26" xfId="0" applyNumberFormat="1" applyFont="1" applyBorder="1" applyAlignment="1"/>
    <xf numFmtId="4" fontId="3" fillId="0" borderId="0" xfId="0" applyNumberFormat="1" applyFont="1" applyAlignment="1"/>
    <xf numFmtId="0" fontId="6" fillId="3" borderId="4" xfId="0" applyFont="1" applyFill="1" applyBorder="1" applyAlignment="1">
      <alignment horizontal="center" vertical="center"/>
    </xf>
    <xf numFmtId="0" fontId="8" fillId="0" borderId="4" xfId="0" applyFont="1" applyBorder="1"/>
    <xf numFmtId="3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0" borderId="7" xfId="0" applyFont="1" applyBorder="1"/>
    <xf numFmtId="0" fontId="9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8" fillId="0" borderId="9" xfId="0" applyFont="1" applyBorder="1"/>
    <xf numFmtId="0" fontId="8" fillId="0" borderId="19" xfId="0" applyFont="1" applyBorder="1"/>
    <xf numFmtId="0" fontId="7" fillId="3" borderId="11" xfId="0" applyFont="1" applyFill="1" applyBorder="1" applyAlignment="1">
      <alignment horizontal="center" vertical="center" wrapText="1"/>
    </xf>
    <xf numFmtId="0" fontId="8" fillId="0" borderId="20" xfId="0" applyFont="1" applyBorder="1"/>
    <xf numFmtId="3" fontId="7" fillId="3" borderId="11" xfId="0" applyNumberFormat="1" applyFont="1" applyFill="1" applyBorder="1" applyAlignment="1">
      <alignment horizontal="center" vertical="center" wrapText="1"/>
    </xf>
    <xf numFmtId="3" fontId="10" fillId="3" borderId="11" xfId="0" applyNumberFormat="1" applyFont="1" applyFill="1" applyBorder="1" applyAlignment="1">
      <alignment horizontal="center" vertical="center" wrapText="1"/>
    </xf>
    <xf numFmtId="3" fontId="7" fillId="3" borderId="12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11" fillId="3" borderId="14" xfId="0" applyFont="1" applyFill="1" applyBorder="1" applyAlignment="1">
      <alignment horizontal="center" vertical="center"/>
    </xf>
    <xf numFmtId="0" fontId="8" fillId="0" borderId="21" xfId="0" applyFont="1" applyBorder="1"/>
    <xf numFmtId="0" fontId="12" fillId="3" borderId="11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8" fillId="0" borderId="22" xfId="0" applyFont="1" applyBorder="1"/>
    <xf numFmtId="0" fontId="7" fillId="3" borderId="14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/>
    </xf>
    <xf numFmtId="0" fontId="8" fillId="0" borderId="23" xfId="0" applyFont="1" applyBorder="1"/>
    <xf numFmtId="0" fontId="17" fillId="3" borderId="18" xfId="0" applyFont="1" applyFill="1" applyBorder="1" applyAlignment="1">
      <alignment horizontal="center" vertical="center" wrapText="1"/>
    </xf>
    <xf numFmtId="0" fontId="8" fillId="0" borderId="25" xfId="0" applyFont="1" applyBorder="1"/>
    <xf numFmtId="0" fontId="17" fillId="3" borderId="11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8" fillId="0" borderId="24" xfId="0" applyFont="1" applyBorder="1"/>
    <xf numFmtId="0" fontId="17" fillId="3" borderId="15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2895600</xdr:colOff>
      <xdr:row>4</xdr:row>
      <xdr:rowOff>38100</xdr:rowOff>
    </xdr:from>
    <xdr:ext cx="4895850" cy="3886200"/>
    <xdr:pic>
      <xdr:nvPicPr>
        <xdr:cNvPr id="2" name="image2.png" title="Зображення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1619250</xdr:colOff>
      <xdr:row>25</xdr:row>
      <xdr:rowOff>76200</xdr:rowOff>
    </xdr:from>
    <xdr:ext cx="7791450" cy="3619500"/>
    <xdr:pic>
      <xdr:nvPicPr>
        <xdr:cNvPr id="3" name="image3.png" title="Зображення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752475</xdr:colOff>
      <xdr:row>0</xdr:row>
      <xdr:rowOff>0</xdr:rowOff>
    </xdr:from>
    <xdr:ext cx="1838325" cy="752475"/>
    <xdr:pic>
      <xdr:nvPicPr>
        <xdr:cNvPr id="4" name="image1.png" title="Изображение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marketguru.io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1688.com/offer/859335072684.html?spm=a26352.b28411319.offerlist.78.7b001e62pNzQCR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https://www.wildberries.ru/catalog/197815559/detail.aspx" TargetMode="External"/><Relationship Id="rId7" Type="http://schemas.openxmlformats.org/officeDocument/2006/relationships/hyperlink" Target="https://www.wildberries.ru/catalog/274465547/detail.aspx" TargetMode="External"/><Relationship Id="rId12" Type="http://schemas.openxmlformats.org/officeDocument/2006/relationships/hyperlink" Target="https://detail.1688.com/offer/822269285523.html?fromkv=cbuPcPlugin:imageSearchDrawer&amp;spm=a2639h.29135425.offerlist.i32&amp;source=action%23offerItem%3Borigin%23www.wildberries.ru&amp;amug_biz=oneself&amp;amug_fl_src=awakeId_982" TargetMode="External"/><Relationship Id="rId2" Type="http://schemas.openxmlformats.org/officeDocument/2006/relationships/hyperlink" Target="https://detail.1688.com/offer/794637080195.html?fromkv=cbuPcPlugin:imageSearchDrawer&amp;spm=a2639h.29135425.offerlist.i2&amp;source=action%23offerItem%3Borigin%23www.wildberries.ru&amp;amug_biz=oneself&amp;amug_fl_src=awakeId_982" TargetMode="External"/><Relationship Id="rId1" Type="http://schemas.openxmlformats.org/officeDocument/2006/relationships/hyperlink" Target="https://www.wildberries.ru/catalog/249654461/detail.aspx" TargetMode="External"/><Relationship Id="rId6" Type="http://schemas.openxmlformats.org/officeDocument/2006/relationships/hyperlink" Target="https://detail.1688.com/offer/809013201324.html?share_token=R71r17qYc6WiMvrgm6ETwX+nJ0pAN32GA3rUJ95giDzXWur+BVSW0g==&amp;__share_id=cd1ade41-67ad-4f02-bb2f-f9aa00a7976b&amp;rpg-cnt=share.offerDetail&amp;offerId=809013201324&amp;__zhi_token=C7DYV8p80H1ax&amp;spm=a262eq.8992535/20250330.5103953.0" TargetMode="External"/><Relationship Id="rId11" Type="http://schemas.openxmlformats.org/officeDocument/2006/relationships/hyperlink" Target="https://www.wildberries.ru/catalog/281827075/detail.aspx" TargetMode="External"/><Relationship Id="rId5" Type="http://schemas.openxmlformats.org/officeDocument/2006/relationships/hyperlink" Target="https://my.marketguru.io/wb/competitors/nomenclature/59196868/info?utm_source=extension" TargetMode="External"/><Relationship Id="rId10" Type="http://schemas.openxmlformats.org/officeDocument/2006/relationships/hyperlink" Target="https://detail.1688.com/offer/895180902348.html?fromkv=cbuPcPlugin:imageSearchDrawer&amp;spm=a2639h.29135425.offerlist.i2&amp;source=action%23offerItem%3Borigin%23www.wildberries.ru&amp;amug_biz=oneself&amp;amug_fl_src=awakeId_982" TargetMode="External"/><Relationship Id="rId4" Type="http://schemas.openxmlformats.org/officeDocument/2006/relationships/hyperlink" Target="https://detail.1688.com/offer/814818185985.html?fromkv=cbuPcPlugin:imageSearchDrawer&amp;spm=a2639h.29135425.offerlist.i3&amp;source=action%23offerItem%3Borigin%23www.wildberries.ru&amp;amug_biz=oneself&amp;amug_fl_src=awakeId_982" TargetMode="External"/><Relationship Id="rId9" Type="http://schemas.openxmlformats.org/officeDocument/2006/relationships/hyperlink" Target="https://www.wildberries.ru/catalog/230511876/detail.aspx" TargetMode="External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45"/>
  <sheetViews>
    <sheetView topLeftCell="A25" workbookViewId="0"/>
  </sheetViews>
  <sheetFormatPr baseColWidth="10" defaultColWidth="12.5703125" defaultRowHeight="15.75" customHeight="1" x14ac:dyDescent="0.2"/>
  <cols>
    <col min="1" max="1" width="148.7109375" customWidth="1"/>
  </cols>
  <sheetData>
    <row r="1" spans="1:1" ht="60" customHeight="1" x14ac:dyDescent="0.2">
      <c r="A1" s="1" t="s">
        <v>0</v>
      </c>
    </row>
    <row r="2" spans="1:1" ht="45" x14ac:dyDescent="0.6">
      <c r="A2" s="2" t="s">
        <v>1</v>
      </c>
    </row>
    <row r="3" spans="1:1" ht="12.75" x14ac:dyDescent="0.2">
      <c r="A3" s="3"/>
    </row>
    <row r="4" spans="1:1" ht="18" x14ac:dyDescent="0.25">
      <c r="A4" s="4" t="s">
        <v>2</v>
      </c>
    </row>
    <row r="5" spans="1:1" ht="12.75" x14ac:dyDescent="0.2">
      <c r="A5" s="3"/>
    </row>
    <row r="6" spans="1:1" ht="12.75" x14ac:dyDescent="0.2">
      <c r="A6" s="3"/>
    </row>
    <row r="7" spans="1:1" ht="12.75" x14ac:dyDescent="0.2">
      <c r="A7" s="3"/>
    </row>
    <row r="8" spans="1:1" ht="12.75" x14ac:dyDescent="0.2">
      <c r="A8" s="3"/>
    </row>
    <row r="9" spans="1:1" ht="12.75" x14ac:dyDescent="0.2">
      <c r="A9" s="3"/>
    </row>
    <row r="10" spans="1:1" ht="12.75" x14ac:dyDescent="0.2">
      <c r="A10" s="3"/>
    </row>
    <row r="11" spans="1:1" ht="12.75" x14ac:dyDescent="0.2">
      <c r="A11" s="3"/>
    </row>
    <row r="12" spans="1:1" ht="12.75" x14ac:dyDescent="0.2">
      <c r="A12" s="3"/>
    </row>
    <row r="13" spans="1:1" ht="12.75" x14ac:dyDescent="0.2">
      <c r="A13" s="3"/>
    </row>
    <row r="14" spans="1:1" ht="12.75" x14ac:dyDescent="0.2">
      <c r="A14" s="3"/>
    </row>
    <row r="15" spans="1:1" ht="12.75" x14ac:dyDescent="0.2">
      <c r="A15" s="3"/>
    </row>
    <row r="16" spans="1:1" ht="12.75" x14ac:dyDescent="0.2">
      <c r="A16" s="3"/>
    </row>
    <row r="17" spans="1:1" ht="12.75" x14ac:dyDescent="0.2">
      <c r="A17" s="3"/>
    </row>
    <row r="18" spans="1:1" ht="12.75" x14ac:dyDescent="0.2">
      <c r="A18" s="3"/>
    </row>
    <row r="19" spans="1:1" ht="12.75" x14ac:dyDescent="0.2">
      <c r="A19" s="3"/>
    </row>
    <row r="20" spans="1:1" ht="12.75" x14ac:dyDescent="0.2">
      <c r="A20" s="3"/>
    </row>
    <row r="21" spans="1:1" ht="12.75" x14ac:dyDescent="0.2">
      <c r="A21" s="3"/>
    </row>
    <row r="22" spans="1:1" ht="12.75" x14ac:dyDescent="0.2">
      <c r="A22" s="3"/>
    </row>
    <row r="23" spans="1:1" ht="12.75" x14ac:dyDescent="0.2">
      <c r="A23" s="3"/>
    </row>
    <row r="24" spans="1:1" ht="12.75" x14ac:dyDescent="0.2">
      <c r="A24" s="3"/>
    </row>
    <row r="25" spans="1:1" ht="18" x14ac:dyDescent="0.25">
      <c r="A25" s="4" t="s">
        <v>3</v>
      </c>
    </row>
    <row r="26" spans="1:1" ht="12.75" x14ac:dyDescent="0.2">
      <c r="A26" s="3"/>
    </row>
    <row r="27" spans="1:1" ht="12.75" x14ac:dyDescent="0.2">
      <c r="A27" s="3"/>
    </row>
    <row r="28" spans="1:1" ht="12.75" x14ac:dyDescent="0.2">
      <c r="A28" s="3"/>
    </row>
    <row r="29" spans="1:1" ht="12.75" x14ac:dyDescent="0.2">
      <c r="A29" s="3"/>
    </row>
    <row r="30" spans="1:1" ht="12.75" x14ac:dyDescent="0.2">
      <c r="A30" s="3"/>
    </row>
    <row r="31" spans="1:1" ht="12.75" x14ac:dyDescent="0.2">
      <c r="A31" s="3"/>
    </row>
    <row r="32" spans="1:1" ht="12.75" x14ac:dyDescent="0.2">
      <c r="A32" s="3"/>
    </row>
    <row r="33" spans="1:1" ht="12.75" x14ac:dyDescent="0.2">
      <c r="A33" s="3"/>
    </row>
    <row r="34" spans="1:1" ht="12.75" x14ac:dyDescent="0.2">
      <c r="A34" s="3"/>
    </row>
    <row r="35" spans="1:1" ht="12.75" x14ac:dyDescent="0.2">
      <c r="A35" s="3"/>
    </row>
    <row r="36" spans="1:1" ht="12.75" x14ac:dyDescent="0.2">
      <c r="A36" s="3"/>
    </row>
    <row r="37" spans="1:1" ht="12.75" x14ac:dyDescent="0.2">
      <c r="A37" s="3"/>
    </row>
    <row r="38" spans="1:1" ht="12.75" x14ac:dyDescent="0.2">
      <c r="A38" s="3"/>
    </row>
    <row r="39" spans="1:1" ht="12.75" x14ac:dyDescent="0.2">
      <c r="A39" s="3"/>
    </row>
    <row r="40" spans="1:1" ht="12.75" x14ac:dyDescent="0.2">
      <c r="A40" s="3"/>
    </row>
    <row r="41" spans="1:1" ht="12.75" x14ac:dyDescent="0.2">
      <c r="A41" s="3"/>
    </row>
    <row r="42" spans="1:1" ht="12.75" x14ac:dyDescent="0.2">
      <c r="A42" s="3"/>
    </row>
    <row r="43" spans="1:1" ht="12.75" x14ac:dyDescent="0.2">
      <c r="A43" s="3"/>
    </row>
    <row r="44" spans="1:1" ht="12.75" x14ac:dyDescent="0.2">
      <c r="A44" s="3"/>
    </row>
    <row r="45" spans="1:1" ht="205.5" customHeight="1" x14ac:dyDescent="0.2">
      <c r="A45" s="5" t="s">
        <v>4</v>
      </c>
    </row>
  </sheetData>
  <hyperlinks>
    <hyperlink ref="A1" r:id="rId1" xr:uid="{00000000-0004-0000-0000-000000000000}"/>
  </hyperlinks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Z28"/>
  <sheetViews>
    <sheetView tabSelected="1" workbookViewId="0">
      <selection sqref="A1:A3"/>
    </sheetView>
  </sheetViews>
  <sheetFormatPr baseColWidth="10" defaultColWidth="12.5703125" defaultRowHeight="15.75" customHeight="1" x14ac:dyDescent="0.2"/>
  <cols>
    <col min="1" max="1" width="31.5703125" customWidth="1"/>
    <col min="2" max="2" width="2.85546875" customWidth="1"/>
    <col min="3" max="3" width="13.42578125" customWidth="1"/>
    <col min="7" max="7" width="13.140625" customWidth="1"/>
    <col min="8" max="13" width="15.42578125" customWidth="1"/>
    <col min="14" max="14" width="28.28515625" customWidth="1"/>
    <col min="15" max="16" width="13.42578125" customWidth="1"/>
    <col min="17" max="17" width="3.140625" customWidth="1"/>
    <col min="20" max="20" width="3" customWidth="1"/>
    <col min="21" max="21" width="11.42578125" customWidth="1"/>
    <col min="22" max="23" width="10.42578125" customWidth="1"/>
    <col min="24" max="24" width="12.28515625" customWidth="1"/>
    <col min="25" max="25" width="12.85546875" customWidth="1"/>
    <col min="26" max="26" width="3.28515625" customWidth="1"/>
    <col min="27" max="27" width="12.7109375" customWidth="1"/>
    <col min="28" max="28" width="15.5703125" customWidth="1"/>
    <col min="29" max="29" width="14.28515625" customWidth="1"/>
    <col min="30" max="30" width="14.42578125" customWidth="1"/>
    <col min="31" max="31" width="12.140625" customWidth="1"/>
    <col min="32" max="33" width="3" customWidth="1"/>
    <col min="34" max="36" width="10.140625" customWidth="1"/>
    <col min="37" max="37" width="11.140625" customWidth="1"/>
    <col min="38" max="38" width="10.140625" customWidth="1"/>
    <col min="39" max="39" width="11" customWidth="1"/>
    <col min="40" max="40" width="11.140625" customWidth="1"/>
    <col min="41" max="41" width="0.7109375" customWidth="1"/>
    <col min="42" max="42" width="6.28515625" customWidth="1"/>
    <col min="43" max="43" width="6.42578125" customWidth="1"/>
    <col min="44" max="44" width="1" customWidth="1"/>
    <col min="45" max="46" width="12.140625" customWidth="1"/>
    <col min="47" max="47" width="11.5703125" customWidth="1"/>
    <col min="48" max="51" width="12.140625" customWidth="1"/>
    <col min="52" max="52" width="4.140625" customWidth="1"/>
  </cols>
  <sheetData>
    <row r="1" spans="1:52" ht="33.75" customHeight="1" x14ac:dyDescent="0.2">
      <c r="A1" s="111" t="s">
        <v>5</v>
      </c>
      <c r="B1" s="6"/>
      <c r="C1" s="104" t="s">
        <v>6</v>
      </c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6"/>
      <c r="R1" s="106"/>
      <c r="S1" s="105"/>
      <c r="T1" s="7"/>
      <c r="U1" s="104" t="s">
        <v>7</v>
      </c>
      <c r="V1" s="105"/>
      <c r="W1" s="105"/>
      <c r="X1" s="105"/>
      <c r="Y1" s="105"/>
      <c r="Z1" s="8"/>
      <c r="AA1" s="107" t="s">
        <v>8</v>
      </c>
      <c r="AB1" s="105"/>
      <c r="AC1" s="105"/>
      <c r="AD1" s="105"/>
      <c r="AE1" s="105"/>
      <c r="AF1" s="9"/>
      <c r="AG1" s="9"/>
      <c r="AH1" s="107" t="s">
        <v>9</v>
      </c>
      <c r="AI1" s="105"/>
      <c r="AJ1" s="105"/>
      <c r="AK1" s="105"/>
      <c r="AL1" s="105"/>
      <c r="AM1" s="105"/>
      <c r="AN1" s="105"/>
      <c r="AO1" s="10"/>
      <c r="AP1" s="108" t="s">
        <v>10</v>
      </c>
      <c r="AQ1" s="109"/>
      <c r="AR1" s="11"/>
      <c r="AS1" s="110" t="s">
        <v>11</v>
      </c>
      <c r="AT1" s="105"/>
      <c r="AU1" s="105"/>
      <c r="AV1" s="105"/>
      <c r="AW1" s="105"/>
      <c r="AX1" s="105"/>
      <c r="AY1" s="105"/>
      <c r="AZ1" s="12"/>
    </row>
    <row r="2" spans="1:52" ht="24.75" customHeight="1" x14ac:dyDescent="0.2">
      <c r="A2" s="112"/>
      <c r="B2" s="13"/>
      <c r="C2" s="114" t="s">
        <v>12</v>
      </c>
      <c r="D2" s="114" t="s">
        <v>13</v>
      </c>
      <c r="E2" s="114" t="s">
        <v>14</v>
      </c>
      <c r="F2" s="114" t="s">
        <v>15</v>
      </c>
      <c r="G2" s="116" t="s">
        <v>16</v>
      </c>
      <c r="H2" s="116" t="s">
        <v>17</v>
      </c>
      <c r="I2" s="116" t="s">
        <v>18</v>
      </c>
      <c r="J2" s="116" t="s">
        <v>19</v>
      </c>
      <c r="K2" s="116" t="s">
        <v>20</v>
      </c>
      <c r="L2" s="116" t="s">
        <v>21</v>
      </c>
      <c r="M2" s="116" t="s">
        <v>22</v>
      </c>
      <c r="N2" s="117" t="s">
        <v>23</v>
      </c>
      <c r="O2" s="118" t="s">
        <v>24</v>
      </c>
      <c r="P2" s="117" t="s">
        <v>25</v>
      </c>
      <c r="Q2" s="14"/>
      <c r="R2" s="114" t="s">
        <v>26</v>
      </c>
      <c r="S2" s="114" t="s">
        <v>27</v>
      </c>
      <c r="T2" s="15"/>
      <c r="U2" s="120" t="s">
        <v>28</v>
      </c>
      <c r="V2" s="122" t="s">
        <v>29</v>
      </c>
      <c r="W2" s="123" t="s">
        <v>30</v>
      </c>
      <c r="X2" s="122" t="s">
        <v>31</v>
      </c>
      <c r="Y2" s="124" t="s">
        <v>32</v>
      </c>
      <c r="Z2" s="16"/>
      <c r="AA2" s="126" t="s">
        <v>33</v>
      </c>
      <c r="AB2" s="114" t="s">
        <v>34</v>
      </c>
      <c r="AC2" s="114" t="s">
        <v>35</v>
      </c>
      <c r="AD2" s="114" t="s">
        <v>36</v>
      </c>
      <c r="AE2" s="127" t="s">
        <v>37</v>
      </c>
      <c r="AF2" s="17"/>
      <c r="AG2" s="18"/>
      <c r="AH2" s="126" t="s">
        <v>38</v>
      </c>
      <c r="AI2" s="126" t="s">
        <v>39</v>
      </c>
      <c r="AJ2" s="114" t="s">
        <v>40</v>
      </c>
      <c r="AK2" s="135" t="s">
        <v>41</v>
      </c>
      <c r="AL2" s="135" t="s">
        <v>42</v>
      </c>
      <c r="AM2" s="114" t="s">
        <v>43</v>
      </c>
      <c r="AN2" s="136" t="s">
        <v>44</v>
      </c>
      <c r="AO2" s="11"/>
      <c r="AP2" s="19" t="s">
        <v>45</v>
      </c>
      <c r="AQ2" s="20">
        <v>100</v>
      </c>
      <c r="AR2" s="21"/>
      <c r="AS2" s="129" t="s">
        <v>46</v>
      </c>
      <c r="AT2" s="129" t="s">
        <v>47</v>
      </c>
      <c r="AU2" s="131" t="s">
        <v>48</v>
      </c>
      <c r="AV2" s="131" t="s">
        <v>49</v>
      </c>
      <c r="AW2" s="131" t="s">
        <v>50</v>
      </c>
      <c r="AX2" s="132" t="s">
        <v>51</v>
      </c>
      <c r="AY2" s="134" t="s">
        <v>52</v>
      </c>
      <c r="AZ2" s="22"/>
    </row>
    <row r="3" spans="1:52" ht="43.5" customHeight="1" x14ac:dyDescent="0.2">
      <c r="A3" s="113"/>
      <c r="B3" s="13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9"/>
      <c r="P3" s="115"/>
      <c r="Q3" s="14"/>
      <c r="R3" s="115"/>
      <c r="S3" s="115"/>
      <c r="T3" s="15"/>
      <c r="U3" s="121"/>
      <c r="V3" s="115"/>
      <c r="W3" s="115"/>
      <c r="X3" s="115"/>
      <c r="Y3" s="125"/>
      <c r="Z3" s="16"/>
      <c r="AA3" s="121"/>
      <c r="AB3" s="115"/>
      <c r="AC3" s="115"/>
      <c r="AD3" s="115"/>
      <c r="AE3" s="125"/>
      <c r="AF3" s="17"/>
      <c r="AG3" s="18"/>
      <c r="AH3" s="128"/>
      <c r="AI3" s="128"/>
      <c r="AJ3" s="115"/>
      <c r="AK3" s="115"/>
      <c r="AL3" s="115"/>
      <c r="AM3" s="115"/>
      <c r="AN3" s="133"/>
      <c r="AO3" s="11"/>
      <c r="AP3" s="23" t="s">
        <v>53</v>
      </c>
      <c r="AQ3" s="24">
        <v>15</v>
      </c>
      <c r="AR3" s="25"/>
      <c r="AS3" s="130"/>
      <c r="AT3" s="130"/>
      <c r="AU3" s="115"/>
      <c r="AV3" s="115"/>
      <c r="AW3" s="115"/>
      <c r="AX3" s="133"/>
      <c r="AY3" s="125"/>
      <c r="AZ3" s="22"/>
    </row>
    <row r="4" spans="1:52" ht="18" x14ac:dyDescent="0.4">
      <c r="A4" s="26"/>
      <c r="B4" s="27"/>
      <c r="C4" s="28"/>
      <c r="D4" s="29"/>
      <c r="E4" s="30"/>
      <c r="F4" s="28"/>
      <c r="G4" s="31"/>
      <c r="H4" s="32"/>
      <c r="I4" s="33"/>
      <c r="J4" s="33"/>
      <c r="K4" s="33"/>
      <c r="L4" s="33"/>
      <c r="M4" s="34"/>
      <c r="N4" s="30"/>
      <c r="O4" s="29"/>
      <c r="P4" s="29"/>
      <c r="Q4" s="35"/>
      <c r="R4" s="36"/>
      <c r="S4" s="33"/>
      <c r="T4" s="37"/>
      <c r="U4" s="31"/>
      <c r="V4" s="31"/>
      <c r="W4" s="33"/>
      <c r="X4" s="38"/>
      <c r="Y4" s="39"/>
      <c r="Z4" s="40"/>
      <c r="AA4" s="34"/>
      <c r="AB4" s="34"/>
      <c r="AC4" s="34"/>
      <c r="AD4" s="34"/>
      <c r="AE4" s="41"/>
      <c r="AF4" s="42"/>
      <c r="AG4" s="43"/>
      <c r="AH4" s="34"/>
      <c r="AI4" s="44"/>
      <c r="AJ4" s="45"/>
      <c r="AK4" s="46"/>
      <c r="AL4" s="46"/>
      <c r="AM4" s="44"/>
      <c r="AN4" s="47"/>
      <c r="AO4" s="48"/>
      <c r="AP4" s="49"/>
      <c r="AQ4" s="50"/>
      <c r="AR4" s="50"/>
      <c r="AS4" s="38"/>
      <c r="AT4" s="38"/>
      <c r="AU4" s="51"/>
      <c r="AV4" s="51"/>
      <c r="AW4" s="38"/>
      <c r="AX4" s="38"/>
      <c r="AY4" s="52"/>
      <c r="AZ4" s="53"/>
    </row>
    <row r="5" spans="1:52" ht="18" x14ac:dyDescent="0.4">
      <c r="A5" s="54" t="s">
        <v>54</v>
      </c>
      <c r="B5" s="55"/>
      <c r="C5" s="56" t="s">
        <v>55</v>
      </c>
      <c r="D5" s="29" t="s">
        <v>56</v>
      </c>
      <c r="E5" s="30" t="s">
        <v>57</v>
      </c>
      <c r="F5" s="56" t="s">
        <v>58</v>
      </c>
      <c r="G5" s="31">
        <v>0.92</v>
      </c>
      <c r="H5" s="32">
        <v>24278530</v>
      </c>
      <c r="I5" s="33">
        <v>34285</v>
      </c>
      <c r="J5" s="33">
        <v>318</v>
      </c>
      <c r="K5" s="33">
        <v>502375</v>
      </c>
      <c r="L5" s="33">
        <v>250</v>
      </c>
      <c r="M5" s="34">
        <f t="shared" ref="M5:M28" si="0">K5/30/1000*L5</f>
        <v>4186.458333333333</v>
      </c>
      <c r="N5" s="30" t="s">
        <v>59</v>
      </c>
      <c r="O5" s="29" t="s">
        <v>56</v>
      </c>
      <c r="P5" s="29" t="s">
        <v>56</v>
      </c>
      <c r="Q5" s="40"/>
      <c r="R5" s="36">
        <v>4166</v>
      </c>
      <c r="S5" s="33">
        <f t="shared" ref="S5:S28" si="1">AY5</f>
        <v>1255</v>
      </c>
      <c r="T5" s="37"/>
      <c r="U5" s="31">
        <v>0.84</v>
      </c>
      <c r="V5" s="31">
        <v>0.13</v>
      </c>
      <c r="W5" s="33">
        <v>75</v>
      </c>
      <c r="X5" s="38">
        <v>3</v>
      </c>
      <c r="Y5" s="39">
        <f t="shared" ref="Y5:Y17" si="2">(W5+(100%-U5)*50)/(1-(100%-U5))</f>
        <v>98.80952380952381</v>
      </c>
      <c r="Z5" s="40"/>
      <c r="AA5" s="33">
        <v>10</v>
      </c>
      <c r="AB5" s="33">
        <v>10</v>
      </c>
      <c r="AC5" s="33">
        <v>20</v>
      </c>
      <c r="AD5" s="33">
        <v>70</v>
      </c>
      <c r="AE5" s="57">
        <v>0.06</v>
      </c>
      <c r="AF5" s="42"/>
      <c r="AG5" s="43"/>
      <c r="AH5" s="34">
        <f t="shared" ref="AH5:AH28" si="3">S5+AA5+AB5+AC5+AD5+AE5*R5</f>
        <v>1614.96</v>
      </c>
      <c r="AI5" s="44">
        <f t="shared" ref="AI5:AI28" si="4">R5-R5*V5-X5*30-Y5</f>
        <v>3435.6104761904762</v>
      </c>
      <c r="AJ5" s="45">
        <f t="shared" ref="AJ5:AJ28" si="5">R5-S5-(R5*V5)-(W5+(100%-U5)*50)/(1-(100%-U5))-X5*30-AA5-AB5-AC5-AD5-R5*AE5</f>
        <v>1820.6504761904762</v>
      </c>
      <c r="AK5" s="46">
        <f t="shared" ref="AK5:AK28" si="6">AJ5/R5</f>
        <v>0.43702603845186661</v>
      </c>
      <c r="AL5" s="46">
        <f t="shared" ref="AL5:AL28" si="7">AJ5/(S5+AA5+AB5+AC5+AD5)</f>
        <v>1.3338098726670156</v>
      </c>
      <c r="AM5" s="44">
        <f t="shared" ref="AM5:AM28" si="8">R5-R5*AN5</f>
        <v>1958.02</v>
      </c>
      <c r="AN5" s="47">
        <f t="shared" ref="AN5:AN28" si="9">ROUNDDOWN(AJ5/(1-AE5-V5)/R5, 2)</f>
        <v>0.53</v>
      </c>
      <c r="AO5" s="48"/>
      <c r="AP5" s="49"/>
      <c r="AQ5" s="50"/>
      <c r="AR5" s="50"/>
      <c r="AS5" s="38">
        <v>79</v>
      </c>
      <c r="AT5" s="38"/>
      <c r="AU5" s="51">
        <v>0.2</v>
      </c>
      <c r="AV5" s="51">
        <v>3.5</v>
      </c>
      <c r="AW5" s="38">
        <f t="shared" ref="AW5:AW28" si="10">AS5*$AQ$3</f>
        <v>1185</v>
      </c>
      <c r="AX5" s="38">
        <f t="shared" ref="AX5:AX28" si="11">AV5*$AQ$2*AU5</f>
        <v>70</v>
      </c>
      <c r="AY5" s="52">
        <f t="shared" ref="AY5:AY28" si="12">AW5+AX5</f>
        <v>1255</v>
      </c>
      <c r="AZ5" s="58"/>
    </row>
    <row r="6" spans="1:52" ht="18" x14ac:dyDescent="0.4">
      <c r="A6" s="59" t="s">
        <v>60</v>
      </c>
      <c r="B6" s="60"/>
      <c r="C6" s="61" t="s">
        <v>61</v>
      </c>
      <c r="D6" s="29" t="s">
        <v>56</v>
      </c>
      <c r="E6" s="30" t="s">
        <v>57</v>
      </c>
      <c r="F6" s="61" t="s">
        <v>62</v>
      </c>
      <c r="G6" s="31">
        <v>0.85</v>
      </c>
      <c r="H6" s="32">
        <v>90498711</v>
      </c>
      <c r="I6" s="33">
        <v>147440</v>
      </c>
      <c r="J6" s="33">
        <v>8701</v>
      </c>
      <c r="K6" s="33">
        <v>693695</v>
      </c>
      <c r="L6" s="33">
        <v>551</v>
      </c>
      <c r="M6" s="34">
        <f t="shared" si="0"/>
        <v>12740.864833333333</v>
      </c>
      <c r="N6" s="30" t="s">
        <v>59</v>
      </c>
      <c r="O6" s="29" t="s">
        <v>56</v>
      </c>
      <c r="P6" s="29" t="s">
        <v>56</v>
      </c>
      <c r="Q6" s="40"/>
      <c r="R6" s="36">
        <v>2529</v>
      </c>
      <c r="S6" s="33">
        <f t="shared" si="1"/>
        <v>392.5</v>
      </c>
      <c r="T6" s="37"/>
      <c r="U6" s="31">
        <v>0.94</v>
      </c>
      <c r="V6" s="31">
        <v>0.2</v>
      </c>
      <c r="W6" s="33">
        <v>74</v>
      </c>
      <c r="X6" s="38">
        <v>3</v>
      </c>
      <c r="Y6" s="39">
        <f t="shared" si="2"/>
        <v>81.914893617021278</v>
      </c>
      <c r="Z6" s="40"/>
      <c r="AA6" s="33">
        <v>10</v>
      </c>
      <c r="AB6" s="33">
        <v>10</v>
      </c>
      <c r="AC6" s="33">
        <v>20</v>
      </c>
      <c r="AD6" s="33">
        <v>70</v>
      </c>
      <c r="AE6" s="57">
        <v>0.06</v>
      </c>
      <c r="AF6" s="42"/>
      <c r="AG6" s="43"/>
      <c r="AH6" s="34">
        <f t="shared" si="3"/>
        <v>654.24</v>
      </c>
      <c r="AI6" s="44">
        <f t="shared" si="4"/>
        <v>1851.2851063829787</v>
      </c>
      <c r="AJ6" s="45">
        <f t="shared" si="5"/>
        <v>1197.0451063829787</v>
      </c>
      <c r="AK6" s="46">
        <f t="shared" si="6"/>
        <v>0.47332744420046607</v>
      </c>
      <c r="AL6" s="46">
        <f t="shared" si="7"/>
        <v>2.3821793161850322</v>
      </c>
      <c r="AM6" s="44">
        <f t="shared" si="8"/>
        <v>935.73</v>
      </c>
      <c r="AN6" s="47">
        <f t="shared" si="9"/>
        <v>0.63</v>
      </c>
      <c r="AO6" s="48"/>
      <c r="AP6" s="49"/>
      <c r="AQ6" s="50"/>
      <c r="AR6" s="50"/>
      <c r="AS6" s="38">
        <v>18</v>
      </c>
      <c r="AT6" s="38"/>
      <c r="AU6" s="51">
        <v>0.35</v>
      </c>
      <c r="AV6" s="51">
        <v>3.5</v>
      </c>
      <c r="AW6" s="38">
        <f t="shared" si="10"/>
        <v>270</v>
      </c>
      <c r="AX6" s="38">
        <f t="shared" si="11"/>
        <v>122.49999999999999</v>
      </c>
      <c r="AY6" s="52">
        <f t="shared" si="12"/>
        <v>392.5</v>
      </c>
      <c r="AZ6" s="58"/>
    </row>
    <row r="7" spans="1:52" ht="18" x14ac:dyDescent="0.4">
      <c r="A7" s="62" t="s">
        <v>63</v>
      </c>
      <c r="B7" s="63"/>
      <c r="C7" s="64" t="s">
        <v>64</v>
      </c>
      <c r="D7" s="29" t="s">
        <v>56</v>
      </c>
      <c r="E7" s="30">
        <v>0</v>
      </c>
      <c r="F7" s="65" t="s">
        <v>65</v>
      </c>
      <c r="G7" s="57">
        <v>0.88</v>
      </c>
      <c r="H7" s="32">
        <v>412789191</v>
      </c>
      <c r="I7" s="29">
        <v>595</v>
      </c>
      <c r="J7" s="29">
        <v>6135</v>
      </c>
      <c r="K7" s="29">
        <v>553695</v>
      </c>
      <c r="L7" s="33">
        <v>378</v>
      </c>
      <c r="M7" s="34">
        <f t="shared" si="0"/>
        <v>6976.5569999999998</v>
      </c>
      <c r="N7" s="30" t="s">
        <v>59</v>
      </c>
      <c r="O7" s="29" t="s">
        <v>56</v>
      </c>
      <c r="P7" s="29" t="s">
        <v>56</v>
      </c>
      <c r="Q7" s="66"/>
      <c r="R7" s="67">
        <v>4159</v>
      </c>
      <c r="S7" s="33">
        <f t="shared" si="1"/>
        <v>355</v>
      </c>
      <c r="T7" s="68"/>
      <c r="U7" s="57">
        <v>0.86</v>
      </c>
      <c r="V7" s="57">
        <v>0.23</v>
      </c>
      <c r="W7" s="29">
        <v>107</v>
      </c>
      <c r="X7" s="69">
        <v>8.4</v>
      </c>
      <c r="Y7" s="39">
        <f t="shared" si="2"/>
        <v>132.55813953488374</v>
      </c>
      <c r="Z7" s="68"/>
      <c r="AA7" s="33">
        <v>10</v>
      </c>
      <c r="AB7" s="33">
        <v>10</v>
      </c>
      <c r="AC7" s="33">
        <v>20</v>
      </c>
      <c r="AD7" s="33">
        <v>70</v>
      </c>
      <c r="AE7" s="57">
        <v>0.06</v>
      </c>
      <c r="AF7" s="70"/>
      <c r="AG7" s="71"/>
      <c r="AH7" s="34">
        <f t="shared" si="3"/>
        <v>714.54</v>
      </c>
      <c r="AI7" s="44">
        <f t="shared" si="4"/>
        <v>2817.8718604651162</v>
      </c>
      <c r="AJ7" s="45">
        <f t="shared" si="5"/>
        <v>2103.3318604651163</v>
      </c>
      <c r="AK7" s="46">
        <f t="shared" si="6"/>
        <v>0.50573019006134079</v>
      </c>
      <c r="AL7" s="46">
        <f t="shared" si="7"/>
        <v>4.5232943235808953</v>
      </c>
      <c r="AM7" s="44">
        <f t="shared" si="8"/>
        <v>1206.1100000000001</v>
      </c>
      <c r="AN7" s="47">
        <f t="shared" si="9"/>
        <v>0.71</v>
      </c>
      <c r="AO7" s="72"/>
      <c r="AP7" s="73"/>
      <c r="AQ7" s="74"/>
      <c r="AR7" s="74"/>
      <c r="AS7" s="69">
        <v>12</v>
      </c>
      <c r="AT7" s="75"/>
      <c r="AU7" s="76">
        <v>0.5</v>
      </c>
      <c r="AV7" s="76">
        <v>3.5</v>
      </c>
      <c r="AW7" s="38">
        <f t="shared" si="10"/>
        <v>180</v>
      </c>
      <c r="AX7" s="38">
        <f t="shared" si="11"/>
        <v>175</v>
      </c>
      <c r="AY7" s="52">
        <f t="shared" si="12"/>
        <v>355</v>
      </c>
      <c r="AZ7" s="77"/>
    </row>
    <row r="8" spans="1:52" ht="18" x14ac:dyDescent="0.4">
      <c r="A8" s="78"/>
      <c r="B8" s="79"/>
      <c r="C8" s="80"/>
      <c r="D8" s="29" t="s">
        <v>66</v>
      </c>
      <c r="E8" s="30" t="s">
        <v>67</v>
      </c>
      <c r="F8" s="81"/>
      <c r="G8" s="41"/>
      <c r="H8" s="82"/>
      <c r="I8" s="34"/>
      <c r="J8" s="34"/>
      <c r="K8" s="34"/>
      <c r="L8" s="33">
        <v>230</v>
      </c>
      <c r="M8" s="34">
        <f t="shared" si="0"/>
        <v>0</v>
      </c>
      <c r="N8" s="30" t="s">
        <v>68</v>
      </c>
      <c r="O8" s="29" t="s">
        <v>56</v>
      </c>
      <c r="P8" s="29" t="s">
        <v>66</v>
      </c>
      <c r="Q8" s="83"/>
      <c r="R8" s="84"/>
      <c r="S8" s="33">
        <f t="shared" si="1"/>
        <v>0</v>
      </c>
      <c r="T8" s="83"/>
      <c r="U8" s="41"/>
      <c r="V8" s="41"/>
      <c r="W8" s="34"/>
      <c r="X8" s="75"/>
      <c r="Y8" s="39" t="e">
        <f t="shared" si="2"/>
        <v>#DIV/0!</v>
      </c>
      <c r="Z8" s="83"/>
      <c r="AA8" s="33">
        <v>10</v>
      </c>
      <c r="AB8" s="33">
        <v>10</v>
      </c>
      <c r="AC8" s="33">
        <v>20</v>
      </c>
      <c r="AD8" s="33">
        <v>70</v>
      </c>
      <c r="AE8" s="57">
        <v>0.06</v>
      </c>
      <c r="AF8" s="85"/>
      <c r="AG8" s="86"/>
      <c r="AH8" s="34">
        <f t="shared" si="3"/>
        <v>110</v>
      </c>
      <c r="AI8" s="44" t="e">
        <f t="shared" si="4"/>
        <v>#DIV/0!</v>
      </c>
      <c r="AJ8" s="45" t="e">
        <f t="shared" si="5"/>
        <v>#DIV/0!</v>
      </c>
      <c r="AK8" s="46" t="e">
        <f t="shared" si="6"/>
        <v>#DIV/0!</v>
      </c>
      <c r="AL8" s="46" t="e">
        <f t="shared" si="7"/>
        <v>#DIV/0!</v>
      </c>
      <c r="AM8" s="44" t="e">
        <f t="shared" si="8"/>
        <v>#DIV/0!</v>
      </c>
      <c r="AN8" s="47" t="e">
        <f t="shared" si="9"/>
        <v>#DIV/0!</v>
      </c>
      <c r="AO8" s="87"/>
      <c r="AP8" s="88"/>
      <c r="AQ8" s="89"/>
      <c r="AR8" s="89"/>
      <c r="AS8" s="75"/>
      <c r="AT8" s="90"/>
      <c r="AU8" s="91"/>
      <c r="AV8" s="91"/>
      <c r="AW8" s="38">
        <f t="shared" si="10"/>
        <v>0</v>
      </c>
      <c r="AX8" s="38">
        <f t="shared" si="11"/>
        <v>0</v>
      </c>
      <c r="AY8" s="52">
        <f t="shared" si="12"/>
        <v>0</v>
      </c>
      <c r="AZ8" s="92"/>
    </row>
    <row r="9" spans="1:52" ht="18" x14ac:dyDescent="0.4">
      <c r="A9" s="54" t="s">
        <v>69</v>
      </c>
      <c r="B9" s="55"/>
      <c r="C9" s="93" t="s">
        <v>70</v>
      </c>
      <c r="D9" s="29" t="s">
        <v>66</v>
      </c>
      <c r="E9" s="30" t="s">
        <v>71</v>
      </c>
      <c r="F9" s="94" t="s">
        <v>72</v>
      </c>
      <c r="G9" s="31">
        <v>0.99</v>
      </c>
      <c r="H9" s="32">
        <v>1960854105</v>
      </c>
      <c r="I9" s="33">
        <v>101815</v>
      </c>
      <c r="J9" s="33">
        <v>4530</v>
      </c>
      <c r="K9" s="33">
        <v>4847140</v>
      </c>
      <c r="L9" s="33">
        <v>230</v>
      </c>
      <c r="M9" s="34">
        <f t="shared" si="0"/>
        <v>37161.406666666669</v>
      </c>
      <c r="N9" s="30" t="s">
        <v>68</v>
      </c>
      <c r="O9" s="29" t="s">
        <v>66</v>
      </c>
      <c r="P9" s="29" t="s">
        <v>66</v>
      </c>
      <c r="Q9" s="40"/>
      <c r="R9" s="36">
        <v>2499</v>
      </c>
      <c r="S9" s="33">
        <f t="shared" si="1"/>
        <v>512.5</v>
      </c>
      <c r="T9" s="37"/>
      <c r="U9" s="31">
        <v>0.48</v>
      </c>
      <c r="V9" s="31">
        <v>0.25</v>
      </c>
      <c r="W9" s="33">
        <v>73</v>
      </c>
      <c r="X9" s="38">
        <v>3</v>
      </c>
      <c r="Y9" s="39">
        <f t="shared" si="2"/>
        <v>206.25</v>
      </c>
      <c r="Z9" s="40"/>
      <c r="AA9" s="33">
        <v>10</v>
      </c>
      <c r="AB9" s="33">
        <v>10</v>
      </c>
      <c r="AC9" s="33">
        <v>20</v>
      </c>
      <c r="AD9" s="33">
        <v>70</v>
      </c>
      <c r="AE9" s="57">
        <v>0.06</v>
      </c>
      <c r="AF9" s="42"/>
      <c r="AG9" s="43"/>
      <c r="AH9" s="34">
        <f t="shared" si="3"/>
        <v>772.44</v>
      </c>
      <c r="AI9" s="44">
        <f t="shared" si="4"/>
        <v>1578</v>
      </c>
      <c r="AJ9" s="45">
        <f t="shared" si="5"/>
        <v>805.56</v>
      </c>
      <c r="AK9" s="46">
        <f t="shared" si="6"/>
        <v>0.32235294117647056</v>
      </c>
      <c r="AL9" s="46">
        <f t="shared" si="7"/>
        <v>1.2940722891566263</v>
      </c>
      <c r="AM9" s="44">
        <f t="shared" si="8"/>
        <v>1349.46</v>
      </c>
      <c r="AN9" s="47">
        <f t="shared" si="9"/>
        <v>0.46</v>
      </c>
      <c r="AO9" s="48"/>
      <c r="AP9" s="49"/>
      <c r="AQ9" s="50"/>
      <c r="AR9" s="50"/>
      <c r="AS9" s="38">
        <v>26</v>
      </c>
      <c r="AT9" s="38"/>
      <c r="AU9" s="51">
        <v>0.35</v>
      </c>
      <c r="AV9" s="51">
        <v>3.5</v>
      </c>
      <c r="AW9" s="38">
        <f t="shared" si="10"/>
        <v>390</v>
      </c>
      <c r="AX9" s="38">
        <f t="shared" si="11"/>
        <v>122.49999999999999</v>
      </c>
      <c r="AY9" s="52">
        <f t="shared" si="12"/>
        <v>512.5</v>
      </c>
      <c r="AZ9" s="58"/>
    </row>
    <row r="10" spans="1:52" ht="18" x14ac:dyDescent="0.4">
      <c r="A10" s="59" t="s">
        <v>73</v>
      </c>
      <c r="B10" s="60"/>
      <c r="C10" s="93" t="s">
        <v>74</v>
      </c>
      <c r="D10" s="29" t="s">
        <v>56</v>
      </c>
      <c r="E10" s="30" t="s">
        <v>75</v>
      </c>
      <c r="F10" s="61" t="s">
        <v>76</v>
      </c>
      <c r="G10" s="31">
        <v>0.98</v>
      </c>
      <c r="H10" s="32">
        <v>1284322069</v>
      </c>
      <c r="I10" s="33">
        <v>3305</v>
      </c>
      <c r="J10" s="33">
        <v>3550</v>
      </c>
      <c r="K10" s="33">
        <v>5254745</v>
      </c>
      <c r="L10" s="33">
        <v>198</v>
      </c>
      <c r="M10" s="34">
        <f t="shared" si="0"/>
        <v>34681.316999999995</v>
      </c>
      <c r="N10" s="30" t="s">
        <v>68</v>
      </c>
      <c r="O10" s="29" t="s">
        <v>66</v>
      </c>
      <c r="P10" s="29" t="s">
        <v>66</v>
      </c>
      <c r="Q10" s="40"/>
      <c r="R10" s="36">
        <v>5100</v>
      </c>
      <c r="S10" s="33">
        <f t="shared" si="1"/>
        <v>790</v>
      </c>
      <c r="T10" s="37"/>
      <c r="U10" s="31">
        <v>0.36</v>
      </c>
      <c r="V10" s="31">
        <v>0.25</v>
      </c>
      <c r="W10" s="33">
        <v>75</v>
      </c>
      <c r="X10" s="38">
        <v>3</v>
      </c>
      <c r="Y10" s="39">
        <f t="shared" si="2"/>
        <v>297.22222222222223</v>
      </c>
      <c r="Z10" s="40"/>
      <c r="AA10" s="33">
        <v>10</v>
      </c>
      <c r="AB10" s="33">
        <v>10</v>
      </c>
      <c r="AC10" s="33">
        <v>20</v>
      </c>
      <c r="AD10" s="33">
        <v>70</v>
      </c>
      <c r="AE10" s="57">
        <v>0.06</v>
      </c>
      <c r="AF10" s="42"/>
      <c r="AG10" s="43"/>
      <c r="AH10" s="34">
        <f t="shared" si="3"/>
        <v>1206</v>
      </c>
      <c r="AI10" s="44">
        <f t="shared" si="4"/>
        <v>3437.7777777777778</v>
      </c>
      <c r="AJ10" s="45">
        <f t="shared" si="5"/>
        <v>2231.7777777777778</v>
      </c>
      <c r="AK10" s="46">
        <f t="shared" si="6"/>
        <v>0.43760348583877995</v>
      </c>
      <c r="AL10" s="46">
        <f t="shared" si="7"/>
        <v>2.4797530864197532</v>
      </c>
      <c r="AM10" s="44">
        <f t="shared" si="8"/>
        <v>1887</v>
      </c>
      <c r="AN10" s="47">
        <f t="shared" si="9"/>
        <v>0.63</v>
      </c>
      <c r="AO10" s="48"/>
      <c r="AP10" s="49"/>
      <c r="AQ10" s="50"/>
      <c r="AR10" s="50"/>
      <c r="AS10" s="38">
        <v>41</v>
      </c>
      <c r="AT10" s="38"/>
      <c r="AU10" s="51">
        <v>0.5</v>
      </c>
      <c r="AV10" s="51">
        <v>3.5</v>
      </c>
      <c r="AW10" s="38">
        <f t="shared" si="10"/>
        <v>615</v>
      </c>
      <c r="AX10" s="38">
        <f t="shared" si="11"/>
        <v>175</v>
      </c>
      <c r="AY10" s="52">
        <f t="shared" si="12"/>
        <v>790</v>
      </c>
      <c r="AZ10" s="58"/>
    </row>
    <row r="11" spans="1:52" ht="17.25" x14ac:dyDescent="0.4">
      <c r="A11" s="62" t="s">
        <v>77</v>
      </c>
      <c r="B11" s="60"/>
      <c r="C11" s="61" t="s">
        <v>78</v>
      </c>
      <c r="D11" s="29" t="s">
        <v>56</v>
      </c>
      <c r="E11" s="30" t="s">
        <v>71</v>
      </c>
      <c r="F11" s="61" t="s">
        <v>79</v>
      </c>
      <c r="G11" s="31">
        <v>0.95</v>
      </c>
      <c r="H11" s="33">
        <v>458458419</v>
      </c>
      <c r="I11" s="33">
        <v>485</v>
      </c>
      <c r="J11" s="33">
        <v>3612</v>
      </c>
      <c r="K11" s="33">
        <v>1217870</v>
      </c>
      <c r="L11" s="33">
        <v>230</v>
      </c>
      <c r="M11" s="34">
        <f t="shared" si="0"/>
        <v>9337.003333333334</v>
      </c>
      <c r="N11" s="30" t="s">
        <v>68</v>
      </c>
      <c r="O11" s="29" t="s">
        <v>66</v>
      </c>
      <c r="P11" s="29" t="s">
        <v>66</v>
      </c>
      <c r="Q11" s="40"/>
      <c r="R11" s="36">
        <v>2100</v>
      </c>
      <c r="S11" s="33">
        <f t="shared" si="1"/>
        <v>277.5</v>
      </c>
      <c r="T11" s="37"/>
      <c r="U11" s="57">
        <v>0.47</v>
      </c>
      <c r="V11" s="57">
        <v>0.25</v>
      </c>
      <c r="W11" s="29">
        <v>75</v>
      </c>
      <c r="X11" s="69">
        <v>3</v>
      </c>
      <c r="Y11" s="39">
        <f t="shared" si="2"/>
        <v>215.95744680851064</v>
      </c>
      <c r="Z11" s="40"/>
      <c r="AA11" s="33">
        <v>10</v>
      </c>
      <c r="AB11" s="33">
        <v>10</v>
      </c>
      <c r="AC11" s="33">
        <v>20</v>
      </c>
      <c r="AD11" s="33">
        <v>70</v>
      </c>
      <c r="AE11" s="57">
        <v>0.06</v>
      </c>
      <c r="AF11" s="42"/>
      <c r="AG11" s="43"/>
      <c r="AH11" s="34">
        <f t="shared" si="3"/>
        <v>513.5</v>
      </c>
      <c r="AI11" s="44">
        <f t="shared" si="4"/>
        <v>1269.0425531914893</v>
      </c>
      <c r="AJ11" s="45">
        <f t="shared" si="5"/>
        <v>755.54255319148933</v>
      </c>
      <c r="AK11" s="46">
        <f t="shared" si="6"/>
        <v>0.3597821681864235</v>
      </c>
      <c r="AL11" s="46">
        <f t="shared" si="7"/>
        <v>1.9497872340425531</v>
      </c>
      <c r="AM11" s="44">
        <f t="shared" si="8"/>
        <v>1008</v>
      </c>
      <c r="AN11" s="47">
        <f t="shared" si="9"/>
        <v>0.52</v>
      </c>
      <c r="AO11" s="48"/>
      <c r="AP11" s="49"/>
      <c r="AQ11" s="50"/>
      <c r="AR11" s="50"/>
      <c r="AS11" s="38">
        <v>15</v>
      </c>
      <c r="AT11" s="38"/>
      <c r="AU11" s="51">
        <v>0.15</v>
      </c>
      <c r="AV11" s="51">
        <v>3.5</v>
      </c>
      <c r="AW11" s="38">
        <f t="shared" si="10"/>
        <v>225</v>
      </c>
      <c r="AX11" s="38">
        <f t="shared" si="11"/>
        <v>52.5</v>
      </c>
      <c r="AY11" s="52">
        <f t="shared" si="12"/>
        <v>277.5</v>
      </c>
      <c r="AZ11" s="58"/>
    </row>
    <row r="12" spans="1:52" ht="17.25" x14ac:dyDescent="0.4">
      <c r="A12" s="95"/>
      <c r="B12" s="60"/>
      <c r="C12" s="96"/>
      <c r="D12" s="29" t="s">
        <v>66</v>
      </c>
      <c r="E12" s="30" t="s">
        <v>80</v>
      </c>
      <c r="F12" s="96"/>
      <c r="G12" s="31"/>
      <c r="H12" s="33"/>
      <c r="I12" s="33"/>
      <c r="J12" s="33"/>
      <c r="K12" s="33"/>
      <c r="L12" s="33">
        <v>230</v>
      </c>
      <c r="M12" s="34">
        <f t="shared" si="0"/>
        <v>0</v>
      </c>
      <c r="N12" s="30" t="s">
        <v>68</v>
      </c>
      <c r="O12" s="29" t="s">
        <v>56</v>
      </c>
      <c r="P12" s="29" t="s">
        <v>66</v>
      </c>
      <c r="Q12" s="40"/>
      <c r="R12" s="36"/>
      <c r="S12" s="33">
        <f t="shared" si="1"/>
        <v>0</v>
      </c>
      <c r="T12" s="37"/>
      <c r="U12" s="41"/>
      <c r="V12" s="41"/>
      <c r="W12" s="34"/>
      <c r="X12" s="75"/>
      <c r="Y12" s="39" t="e">
        <f t="shared" si="2"/>
        <v>#DIV/0!</v>
      </c>
      <c r="Z12" s="40"/>
      <c r="AA12" s="33">
        <v>10</v>
      </c>
      <c r="AB12" s="33">
        <v>10</v>
      </c>
      <c r="AC12" s="33">
        <v>20</v>
      </c>
      <c r="AD12" s="33">
        <v>70</v>
      </c>
      <c r="AE12" s="57">
        <v>0.06</v>
      </c>
      <c r="AF12" s="42"/>
      <c r="AG12" s="43"/>
      <c r="AH12" s="34">
        <f t="shared" si="3"/>
        <v>110</v>
      </c>
      <c r="AI12" s="44" t="e">
        <f t="shared" si="4"/>
        <v>#DIV/0!</v>
      </c>
      <c r="AJ12" s="45" t="e">
        <f t="shared" si="5"/>
        <v>#DIV/0!</v>
      </c>
      <c r="AK12" s="46" t="e">
        <f t="shared" si="6"/>
        <v>#DIV/0!</v>
      </c>
      <c r="AL12" s="46" t="e">
        <f t="shared" si="7"/>
        <v>#DIV/0!</v>
      </c>
      <c r="AM12" s="44" t="e">
        <f t="shared" si="8"/>
        <v>#DIV/0!</v>
      </c>
      <c r="AN12" s="47" t="e">
        <f t="shared" si="9"/>
        <v>#DIV/0!</v>
      </c>
      <c r="AO12" s="48"/>
      <c r="AP12" s="49"/>
      <c r="AQ12" s="50"/>
      <c r="AR12" s="50"/>
      <c r="AS12" s="38"/>
      <c r="AT12" s="38"/>
      <c r="AU12" s="51"/>
      <c r="AV12" s="51"/>
      <c r="AW12" s="38">
        <f t="shared" si="10"/>
        <v>0</v>
      </c>
      <c r="AX12" s="38">
        <f t="shared" si="11"/>
        <v>0</v>
      </c>
      <c r="AY12" s="52">
        <f t="shared" si="12"/>
        <v>0</v>
      </c>
      <c r="AZ12" s="58"/>
    </row>
    <row r="13" spans="1:52" ht="17.25" x14ac:dyDescent="0.4">
      <c r="A13" s="95"/>
      <c r="B13" s="60"/>
      <c r="C13" s="96"/>
      <c r="D13" s="29" t="s">
        <v>66</v>
      </c>
      <c r="E13" s="30" t="s">
        <v>81</v>
      </c>
      <c r="F13" s="96"/>
      <c r="G13" s="31"/>
      <c r="H13" s="33"/>
      <c r="I13" s="33"/>
      <c r="J13" s="33"/>
      <c r="K13" s="33"/>
      <c r="L13" s="33">
        <v>230</v>
      </c>
      <c r="M13" s="34">
        <f t="shared" si="0"/>
        <v>0</v>
      </c>
      <c r="N13" s="30" t="s">
        <v>68</v>
      </c>
      <c r="O13" s="29" t="s">
        <v>56</v>
      </c>
      <c r="P13" s="29" t="s">
        <v>66</v>
      </c>
      <c r="Q13" s="40"/>
      <c r="R13" s="36"/>
      <c r="S13" s="33">
        <f t="shared" si="1"/>
        <v>0</v>
      </c>
      <c r="T13" s="37"/>
      <c r="U13" s="41"/>
      <c r="V13" s="41"/>
      <c r="W13" s="34"/>
      <c r="X13" s="75"/>
      <c r="Y13" s="39" t="e">
        <f t="shared" si="2"/>
        <v>#DIV/0!</v>
      </c>
      <c r="Z13" s="40"/>
      <c r="AA13" s="33">
        <v>10</v>
      </c>
      <c r="AB13" s="33">
        <v>10</v>
      </c>
      <c r="AC13" s="33">
        <v>20</v>
      </c>
      <c r="AD13" s="33">
        <v>70</v>
      </c>
      <c r="AE13" s="57">
        <v>0.06</v>
      </c>
      <c r="AF13" s="42"/>
      <c r="AG13" s="43"/>
      <c r="AH13" s="34">
        <f t="shared" si="3"/>
        <v>110</v>
      </c>
      <c r="AI13" s="44" t="e">
        <f t="shared" si="4"/>
        <v>#DIV/0!</v>
      </c>
      <c r="AJ13" s="45" t="e">
        <f t="shared" si="5"/>
        <v>#DIV/0!</v>
      </c>
      <c r="AK13" s="46" t="e">
        <f t="shared" si="6"/>
        <v>#DIV/0!</v>
      </c>
      <c r="AL13" s="46" t="e">
        <f t="shared" si="7"/>
        <v>#DIV/0!</v>
      </c>
      <c r="AM13" s="44" t="e">
        <f t="shared" si="8"/>
        <v>#DIV/0!</v>
      </c>
      <c r="AN13" s="47" t="e">
        <f t="shared" si="9"/>
        <v>#DIV/0!</v>
      </c>
      <c r="AO13" s="48"/>
      <c r="AP13" s="49"/>
      <c r="AQ13" s="50"/>
      <c r="AR13" s="50"/>
      <c r="AS13" s="38"/>
      <c r="AT13" s="38"/>
      <c r="AU13" s="51"/>
      <c r="AV13" s="51"/>
      <c r="AW13" s="38">
        <f t="shared" si="10"/>
        <v>0</v>
      </c>
      <c r="AX13" s="38">
        <f t="shared" si="11"/>
        <v>0</v>
      </c>
      <c r="AY13" s="52">
        <f t="shared" si="12"/>
        <v>0</v>
      </c>
      <c r="AZ13" s="58"/>
    </row>
    <row r="14" spans="1:52" ht="17.25" x14ac:dyDescent="0.4">
      <c r="A14" s="95"/>
      <c r="B14" s="60"/>
      <c r="C14" s="96"/>
      <c r="D14" s="29" t="s">
        <v>66</v>
      </c>
      <c r="E14" s="30" t="s">
        <v>82</v>
      </c>
      <c r="F14" s="96"/>
      <c r="G14" s="31"/>
      <c r="H14" s="33"/>
      <c r="I14" s="33"/>
      <c r="J14" s="33"/>
      <c r="K14" s="33"/>
      <c r="L14" s="33">
        <v>230</v>
      </c>
      <c r="M14" s="34">
        <f t="shared" si="0"/>
        <v>0</v>
      </c>
      <c r="N14" s="30" t="s">
        <v>68</v>
      </c>
      <c r="O14" s="29" t="s">
        <v>56</v>
      </c>
      <c r="P14" s="29" t="s">
        <v>66</v>
      </c>
      <c r="Q14" s="40"/>
      <c r="R14" s="36"/>
      <c r="S14" s="33">
        <f t="shared" si="1"/>
        <v>0</v>
      </c>
      <c r="T14" s="37"/>
      <c r="U14" s="41"/>
      <c r="V14" s="41"/>
      <c r="W14" s="34"/>
      <c r="X14" s="75"/>
      <c r="Y14" s="39" t="e">
        <f t="shared" si="2"/>
        <v>#DIV/0!</v>
      </c>
      <c r="Z14" s="40"/>
      <c r="AA14" s="33">
        <v>10</v>
      </c>
      <c r="AB14" s="33">
        <v>10</v>
      </c>
      <c r="AC14" s="33">
        <v>20</v>
      </c>
      <c r="AD14" s="33">
        <v>70</v>
      </c>
      <c r="AE14" s="57">
        <v>0.06</v>
      </c>
      <c r="AF14" s="42"/>
      <c r="AG14" s="43"/>
      <c r="AH14" s="34">
        <f t="shared" si="3"/>
        <v>110</v>
      </c>
      <c r="AI14" s="44" t="e">
        <f t="shared" si="4"/>
        <v>#DIV/0!</v>
      </c>
      <c r="AJ14" s="45" t="e">
        <f t="shared" si="5"/>
        <v>#DIV/0!</v>
      </c>
      <c r="AK14" s="46" t="e">
        <f t="shared" si="6"/>
        <v>#DIV/0!</v>
      </c>
      <c r="AL14" s="46" t="e">
        <f t="shared" si="7"/>
        <v>#DIV/0!</v>
      </c>
      <c r="AM14" s="44" t="e">
        <f t="shared" si="8"/>
        <v>#DIV/0!</v>
      </c>
      <c r="AN14" s="47" t="e">
        <f t="shared" si="9"/>
        <v>#DIV/0!</v>
      </c>
      <c r="AO14" s="48"/>
      <c r="AP14" s="49"/>
      <c r="AQ14" s="50"/>
      <c r="AR14" s="50"/>
      <c r="AS14" s="38"/>
      <c r="AT14" s="38"/>
      <c r="AU14" s="51"/>
      <c r="AV14" s="51"/>
      <c r="AW14" s="38">
        <f t="shared" si="10"/>
        <v>0</v>
      </c>
      <c r="AX14" s="38">
        <f t="shared" si="11"/>
        <v>0</v>
      </c>
      <c r="AY14" s="52">
        <f t="shared" si="12"/>
        <v>0</v>
      </c>
      <c r="AZ14" s="58"/>
    </row>
    <row r="15" spans="1:52" ht="17.25" x14ac:dyDescent="0.4">
      <c r="A15" s="95"/>
      <c r="B15" s="60"/>
      <c r="C15" s="96"/>
      <c r="D15" s="29" t="s">
        <v>66</v>
      </c>
      <c r="E15" s="30" t="s">
        <v>83</v>
      </c>
      <c r="F15" s="96"/>
      <c r="G15" s="31"/>
      <c r="H15" s="33"/>
      <c r="I15" s="33"/>
      <c r="J15" s="33"/>
      <c r="K15" s="33"/>
      <c r="L15" s="33">
        <v>230</v>
      </c>
      <c r="M15" s="34">
        <f t="shared" si="0"/>
        <v>0</v>
      </c>
      <c r="N15" s="30" t="s">
        <v>68</v>
      </c>
      <c r="O15" s="29" t="s">
        <v>56</v>
      </c>
      <c r="P15" s="29" t="s">
        <v>66</v>
      </c>
      <c r="Q15" s="40"/>
      <c r="R15" s="36"/>
      <c r="S15" s="33">
        <f t="shared" si="1"/>
        <v>0</v>
      </c>
      <c r="T15" s="37"/>
      <c r="U15" s="41"/>
      <c r="V15" s="41"/>
      <c r="W15" s="34"/>
      <c r="X15" s="75"/>
      <c r="Y15" s="39" t="e">
        <f t="shared" si="2"/>
        <v>#DIV/0!</v>
      </c>
      <c r="Z15" s="40"/>
      <c r="AA15" s="33">
        <v>10</v>
      </c>
      <c r="AB15" s="33">
        <v>10</v>
      </c>
      <c r="AC15" s="33">
        <v>20</v>
      </c>
      <c r="AD15" s="33">
        <v>70</v>
      </c>
      <c r="AE15" s="57">
        <v>0.06</v>
      </c>
      <c r="AF15" s="42"/>
      <c r="AG15" s="43"/>
      <c r="AH15" s="34">
        <f t="shared" si="3"/>
        <v>110</v>
      </c>
      <c r="AI15" s="44" t="e">
        <f t="shared" si="4"/>
        <v>#DIV/0!</v>
      </c>
      <c r="AJ15" s="45" t="e">
        <f t="shared" si="5"/>
        <v>#DIV/0!</v>
      </c>
      <c r="AK15" s="46" t="e">
        <f t="shared" si="6"/>
        <v>#DIV/0!</v>
      </c>
      <c r="AL15" s="46" t="e">
        <f t="shared" si="7"/>
        <v>#DIV/0!</v>
      </c>
      <c r="AM15" s="44" t="e">
        <f t="shared" si="8"/>
        <v>#DIV/0!</v>
      </c>
      <c r="AN15" s="47" t="e">
        <f t="shared" si="9"/>
        <v>#DIV/0!</v>
      </c>
      <c r="AO15" s="48"/>
      <c r="AP15" s="49"/>
      <c r="AQ15" s="50"/>
      <c r="AR15" s="50"/>
      <c r="AS15" s="38"/>
      <c r="AT15" s="38"/>
      <c r="AU15" s="51"/>
      <c r="AV15" s="51"/>
      <c r="AW15" s="38">
        <f t="shared" si="10"/>
        <v>0</v>
      </c>
      <c r="AX15" s="38">
        <f t="shared" si="11"/>
        <v>0</v>
      </c>
      <c r="AY15" s="52">
        <f t="shared" si="12"/>
        <v>0</v>
      </c>
      <c r="AZ15" s="58"/>
    </row>
    <row r="16" spans="1:52" ht="17.25" x14ac:dyDescent="0.4">
      <c r="A16" s="95"/>
      <c r="B16" s="60"/>
      <c r="C16" s="96"/>
      <c r="D16" s="29" t="s">
        <v>66</v>
      </c>
      <c r="E16" s="30" t="s">
        <v>84</v>
      </c>
      <c r="F16" s="96"/>
      <c r="G16" s="31"/>
      <c r="H16" s="33"/>
      <c r="I16" s="33"/>
      <c r="J16" s="33"/>
      <c r="K16" s="33"/>
      <c r="L16" s="33">
        <v>230</v>
      </c>
      <c r="M16" s="34">
        <f t="shared" si="0"/>
        <v>0</v>
      </c>
      <c r="N16" s="30" t="s">
        <v>68</v>
      </c>
      <c r="O16" s="29" t="s">
        <v>56</v>
      </c>
      <c r="P16" s="29" t="s">
        <v>66</v>
      </c>
      <c r="Q16" s="40"/>
      <c r="R16" s="36"/>
      <c r="S16" s="33">
        <f t="shared" si="1"/>
        <v>0</v>
      </c>
      <c r="T16" s="37"/>
      <c r="U16" s="41"/>
      <c r="V16" s="41"/>
      <c r="W16" s="34"/>
      <c r="X16" s="75"/>
      <c r="Y16" s="39" t="e">
        <f t="shared" si="2"/>
        <v>#DIV/0!</v>
      </c>
      <c r="Z16" s="40"/>
      <c r="AA16" s="33">
        <v>10</v>
      </c>
      <c r="AB16" s="33">
        <v>10</v>
      </c>
      <c r="AC16" s="33">
        <v>20</v>
      </c>
      <c r="AD16" s="33">
        <v>70</v>
      </c>
      <c r="AE16" s="57">
        <v>0.06</v>
      </c>
      <c r="AF16" s="42"/>
      <c r="AG16" s="43"/>
      <c r="AH16" s="34">
        <f t="shared" si="3"/>
        <v>110</v>
      </c>
      <c r="AI16" s="44" t="e">
        <f t="shared" si="4"/>
        <v>#DIV/0!</v>
      </c>
      <c r="AJ16" s="45" t="e">
        <f t="shared" si="5"/>
        <v>#DIV/0!</v>
      </c>
      <c r="AK16" s="46" t="e">
        <f t="shared" si="6"/>
        <v>#DIV/0!</v>
      </c>
      <c r="AL16" s="46" t="e">
        <f t="shared" si="7"/>
        <v>#DIV/0!</v>
      </c>
      <c r="AM16" s="44" t="e">
        <f t="shared" si="8"/>
        <v>#DIV/0!</v>
      </c>
      <c r="AN16" s="47" t="e">
        <f t="shared" si="9"/>
        <v>#DIV/0!</v>
      </c>
      <c r="AO16" s="48"/>
      <c r="AP16" s="49"/>
      <c r="AQ16" s="50"/>
      <c r="AR16" s="50"/>
      <c r="AS16" s="38"/>
      <c r="AT16" s="38"/>
      <c r="AU16" s="51"/>
      <c r="AV16" s="51"/>
      <c r="AW16" s="38">
        <f t="shared" si="10"/>
        <v>0</v>
      </c>
      <c r="AX16" s="38">
        <f t="shared" si="11"/>
        <v>0</v>
      </c>
      <c r="AY16" s="52">
        <f t="shared" si="12"/>
        <v>0</v>
      </c>
      <c r="AZ16" s="58"/>
    </row>
    <row r="17" spans="1:52" ht="17.25" x14ac:dyDescent="0.4">
      <c r="A17" s="95"/>
      <c r="B17" s="60"/>
      <c r="C17" s="96"/>
      <c r="D17" s="29" t="s">
        <v>66</v>
      </c>
      <c r="E17" s="30" t="s">
        <v>85</v>
      </c>
      <c r="F17" s="96"/>
      <c r="G17" s="31"/>
      <c r="H17" s="33"/>
      <c r="I17" s="33"/>
      <c r="J17" s="33"/>
      <c r="K17" s="33"/>
      <c r="L17" s="33">
        <v>230</v>
      </c>
      <c r="M17" s="34">
        <f t="shared" si="0"/>
        <v>0</v>
      </c>
      <c r="N17" s="30" t="s">
        <v>68</v>
      </c>
      <c r="O17" s="29" t="s">
        <v>56</v>
      </c>
      <c r="P17" s="29" t="s">
        <v>66</v>
      </c>
      <c r="Q17" s="40"/>
      <c r="R17" s="36"/>
      <c r="S17" s="33">
        <f t="shared" si="1"/>
        <v>0</v>
      </c>
      <c r="T17" s="37"/>
      <c r="U17" s="41"/>
      <c r="V17" s="41"/>
      <c r="W17" s="34"/>
      <c r="X17" s="75"/>
      <c r="Y17" s="39" t="e">
        <f t="shared" si="2"/>
        <v>#DIV/0!</v>
      </c>
      <c r="Z17" s="40"/>
      <c r="AA17" s="33">
        <v>10</v>
      </c>
      <c r="AB17" s="33">
        <v>10</v>
      </c>
      <c r="AC17" s="33">
        <v>20</v>
      </c>
      <c r="AD17" s="33">
        <v>70</v>
      </c>
      <c r="AE17" s="57">
        <v>0.06</v>
      </c>
      <c r="AF17" s="42"/>
      <c r="AG17" s="43"/>
      <c r="AH17" s="34">
        <f t="shared" si="3"/>
        <v>110</v>
      </c>
      <c r="AI17" s="44" t="e">
        <f t="shared" si="4"/>
        <v>#DIV/0!</v>
      </c>
      <c r="AJ17" s="45" t="e">
        <f t="shared" si="5"/>
        <v>#DIV/0!</v>
      </c>
      <c r="AK17" s="46" t="e">
        <f t="shared" si="6"/>
        <v>#DIV/0!</v>
      </c>
      <c r="AL17" s="46" t="e">
        <f t="shared" si="7"/>
        <v>#DIV/0!</v>
      </c>
      <c r="AM17" s="44" t="e">
        <f t="shared" si="8"/>
        <v>#DIV/0!</v>
      </c>
      <c r="AN17" s="47" t="e">
        <f t="shared" si="9"/>
        <v>#DIV/0!</v>
      </c>
      <c r="AO17" s="48"/>
      <c r="AP17" s="49"/>
      <c r="AQ17" s="50"/>
      <c r="AR17" s="50"/>
      <c r="AS17" s="38"/>
      <c r="AT17" s="38"/>
      <c r="AU17" s="51"/>
      <c r="AV17" s="51"/>
      <c r="AW17" s="38">
        <f t="shared" si="10"/>
        <v>0</v>
      </c>
      <c r="AX17" s="38">
        <f t="shared" si="11"/>
        <v>0</v>
      </c>
      <c r="AY17" s="52">
        <f t="shared" si="12"/>
        <v>0</v>
      </c>
      <c r="AZ17" s="58"/>
    </row>
    <row r="18" spans="1:52" ht="17.25" x14ac:dyDescent="0.4">
      <c r="A18" s="95"/>
      <c r="B18" s="60"/>
      <c r="C18" s="96"/>
      <c r="D18" s="29" t="s">
        <v>66</v>
      </c>
      <c r="E18" s="30" t="s">
        <v>86</v>
      </c>
      <c r="F18" s="96"/>
      <c r="G18" s="31"/>
      <c r="H18" s="33"/>
      <c r="I18" s="33"/>
      <c r="J18" s="33"/>
      <c r="K18" s="33"/>
      <c r="L18" s="33">
        <v>230</v>
      </c>
      <c r="M18" s="34">
        <f t="shared" si="0"/>
        <v>0</v>
      </c>
      <c r="N18" s="30" t="s">
        <v>68</v>
      </c>
      <c r="O18" s="29" t="s">
        <v>56</v>
      </c>
      <c r="P18" s="29" t="s">
        <v>66</v>
      </c>
      <c r="Q18" s="40"/>
      <c r="R18" s="84"/>
      <c r="S18" s="33">
        <f t="shared" si="1"/>
        <v>0</v>
      </c>
      <c r="T18" s="37"/>
      <c r="U18" s="41"/>
      <c r="V18" s="41"/>
      <c r="W18" s="34"/>
      <c r="X18" s="75"/>
      <c r="Y18" s="39"/>
      <c r="Z18" s="40"/>
      <c r="AA18" s="29"/>
      <c r="AB18" s="29"/>
      <c r="AC18" s="29"/>
      <c r="AD18" s="34"/>
      <c r="AE18" s="41"/>
      <c r="AF18" s="42"/>
      <c r="AG18" s="43"/>
      <c r="AH18" s="34">
        <f t="shared" si="3"/>
        <v>0</v>
      </c>
      <c r="AI18" s="44">
        <f t="shared" si="4"/>
        <v>0</v>
      </c>
      <c r="AJ18" s="45" t="e">
        <f t="shared" si="5"/>
        <v>#DIV/0!</v>
      </c>
      <c r="AK18" s="46" t="e">
        <f t="shared" si="6"/>
        <v>#DIV/0!</v>
      </c>
      <c r="AL18" s="46" t="e">
        <f t="shared" si="7"/>
        <v>#DIV/0!</v>
      </c>
      <c r="AM18" s="44" t="e">
        <f t="shared" si="8"/>
        <v>#DIV/0!</v>
      </c>
      <c r="AN18" s="47" t="e">
        <f t="shared" si="9"/>
        <v>#DIV/0!</v>
      </c>
      <c r="AO18" s="48"/>
      <c r="AP18" s="49"/>
      <c r="AQ18" s="50"/>
      <c r="AR18" s="50"/>
      <c r="AS18" s="38"/>
      <c r="AT18" s="38"/>
      <c r="AU18" s="51"/>
      <c r="AV18" s="51"/>
      <c r="AW18" s="38">
        <f t="shared" si="10"/>
        <v>0</v>
      </c>
      <c r="AX18" s="38">
        <f t="shared" si="11"/>
        <v>0</v>
      </c>
      <c r="AY18" s="52">
        <f t="shared" si="12"/>
        <v>0</v>
      </c>
      <c r="AZ18" s="58"/>
    </row>
    <row r="19" spans="1:52" ht="17.25" x14ac:dyDescent="0.4">
      <c r="A19" s="95"/>
      <c r="B19" s="60"/>
      <c r="C19" s="96"/>
      <c r="D19" s="29" t="s">
        <v>66</v>
      </c>
      <c r="E19" s="30" t="s">
        <v>87</v>
      </c>
      <c r="F19" s="96"/>
      <c r="G19" s="31"/>
      <c r="H19" s="33"/>
      <c r="I19" s="33"/>
      <c r="J19" s="33"/>
      <c r="K19" s="33"/>
      <c r="L19" s="33">
        <v>230</v>
      </c>
      <c r="M19" s="34">
        <f t="shared" si="0"/>
        <v>0</v>
      </c>
      <c r="N19" s="30" t="s">
        <v>68</v>
      </c>
      <c r="O19" s="29" t="s">
        <v>56</v>
      </c>
      <c r="P19" s="29" t="s">
        <v>66</v>
      </c>
      <c r="Q19" s="40"/>
      <c r="R19" s="36"/>
      <c r="S19" s="33">
        <f t="shared" si="1"/>
        <v>0</v>
      </c>
      <c r="T19" s="37"/>
      <c r="U19" s="41"/>
      <c r="V19" s="41"/>
      <c r="W19" s="34"/>
      <c r="X19" s="75"/>
      <c r="Y19" s="39"/>
      <c r="Z19" s="40"/>
      <c r="AA19" s="29"/>
      <c r="AB19" s="29"/>
      <c r="AC19" s="29"/>
      <c r="AD19" s="34"/>
      <c r="AE19" s="41"/>
      <c r="AF19" s="42"/>
      <c r="AG19" s="43"/>
      <c r="AH19" s="34">
        <f t="shared" si="3"/>
        <v>0</v>
      </c>
      <c r="AI19" s="44">
        <f t="shared" si="4"/>
        <v>0</v>
      </c>
      <c r="AJ19" s="45" t="e">
        <f t="shared" si="5"/>
        <v>#DIV/0!</v>
      </c>
      <c r="AK19" s="46" t="e">
        <f t="shared" si="6"/>
        <v>#DIV/0!</v>
      </c>
      <c r="AL19" s="46" t="e">
        <f t="shared" si="7"/>
        <v>#DIV/0!</v>
      </c>
      <c r="AM19" s="44" t="e">
        <f t="shared" si="8"/>
        <v>#DIV/0!</v>
      </c>
      <c r="AN19" s="47" t="e">
        <f t="shared" si="9"/>
        <v>#DIV/0!</v>
      </c>
      <c r="AO19" s="48"/>
      <c r="AP19" s="49"/>
      <c r="AQ19" s="50"/>
      <c r="AR19" s="50"/>
      <c r="AS19" s="38"/>
      <c r="AT19" s="38"/>
      <c r="AU19" s="51"/>
      <c r="AV19" s="51"/>
      <c r="AW19" s="38">
        <f t="shared" si="10"/>
        <v>0</v>
      </c>
      <c r="AX19" s="38">
        <f t="shared" si="11"/>
        <v>0</v>
      </c>
      <c r="AY19" s="52">
        <f t="shared" si="12"/>
        <v>0</v>
      </c>
      <c r="AZ19" s="58"/>
    </row>
    <row r="20" spans="1:52" ht="17.25" x14ac:dyDescent="0.4">
      <c r="A20" s="95"/>
      <c r="B20" s="60"/>
      <c r="C20" s="96"/>
      <c r="D20" s="29" t="s">
        <v>66</v>
      </c>
      <c r="E20" s="30" t="s">
        <v>88</v>
      </c>
      <c r="F20" s="96"/>
      <c r="G20" s="31"/>
      <c r="H20" s="33"/>
      <c r="I20" s="33"/>
      <c r="J20" s="33"/>
      <c r="K20" s="33"/>
      <c r="L20" s="33">
        <v>230</v>
      </c>
      <c r="M20" s="34">
        <f t="shared" si="0"/>
        <v>0</v>
      </c>
      <c r="N20" s="30" t="s">
        <v>68</v>
      </c>
      <c r="O20" s="29" t="s">
        <v>56</v>
      </c>
      <c r="P20" s="29" t="s">
        <v>66</v>
      </c>
      <c r="Q20" s="40"/>
      <c r="R20" s="36"/>
      <c r="S20" s="33">
        <f t="shared" si="1"/>
        <v>0</v>
      </c>
      <c r="T20" s="37"/>
      <c r="U20" s="41"/>
      <c r="V20" s="41"/>
      <c r="W20" s="34"/>
      <c r="X20" s="75"/>
      <c r="Y20" s="39"/>
      <c r="Z20" s="40"/>
      <c r="AA20" s="29"/>
      <c r="AB20" s="29"/>
      <c r="AC20" s="29"/>
      <c r="AD20" s="34"/>
      <c r="AE20" s="41"/>
      <c r="AF20" s="42"/>
      <c r="AG20" s="43"/>
      <c r="AH20" s="34">
        <f t="shared" si="3"/>
        <v>0</v>
      </c>
      <c r="AI20" s="44">
        <f t="shared" si="4"/>
        <v>0</v>
      </c>
      <c r="AJ20" s="45" t="e">
        <f t="shared" si="5"/>
        <v>#DIV/0!</v>
      </c>
      <c r="AK20" s="46" t="e">
        <f t="shared" si="6"/>
        <v>#DIV/0!</v>
      </c>
      <c r="AL20" s="46" t="e">
        <f t="shared" si="7"/>
        <v>#DIV/0!</v>
      </c>
      <c r="AM20" s="44" t="e">
        <f t="shared" si="8"/>
        <v>#DIV/0!</v>
      </c>
      <c r="AN20" s="47" t="e">
        <f t="shared" si="9"/>
        <v>#DIV/0!</v>
      </c>
      <c r="AO20" s="48"/>
      <c r="AP20" s="49"/>
      <c r="AQ20" s="50"/>
      <c r="AR20" s="50"/>
      <c r="AS20" s="38"/>
      <c r="AT20" s="38"/>
      <c r="AU20" s="51"/>
      <c r="AV20" s="51"/>
      <c r="AW20" s="38">
        <f t="shared" si="10"/>
        <v>0</v>
      </c>
      <c r="AX20" s="38">
        <f t="shared" si="11"/>
        <v>0</v>
      </c>
      <c r="AY20" s="52">
        <f t="shared" si="12"/>
        <v>0</v>
      </c>
      <c r="AZ20" s="58"/>
    </row>
    <row r="21" spans="1:52" ht="17.25" x14ac:dyDescent="0.4">
      <c r="A21" s="95"/>
      <c r="B21" s="60"/>
      <c r="C21" s="96"/>
      <c r="D21" s="29" t="s">
        <v>66</v>
      </c>
      <c r="E21" s="30" t="s">
        <v>89</v>
      </c>
      <c r="F21" s="96"/>
      <c r="G21" s="31"/>
      <c r="H21" s="33"/>
      <c r="I21" s="33"/>
      <c r="J21" s="33"/>
      <c r="K21" s="33"/>
      <c r="L21" s="33">
        <v>230</v>
      </c>
      <c r="M21" s="34">
        <f t="shared" si="0"/>
        <v>0</v>
      </c>
      <c r="N21" s="30" t="s">
        <v>68</v>
      </c>
      <c r="O21" s="29" t="s">
        <v>56</v>
      </c>
      <c r="P21" s="29" t="s">
        <v>66</v>
      </c>
      <c r="Q21" s="40"/>
      <c r="R21" s="36"/>
      <c r="S21" s="33">
        <f t="shared" si="1"/>
        <v>0</v>
      </c>
      <c r="T21" s="37"/>
      <c r="U21" s="41"/>
      <c r="V21" s="41"/>
      <c r="W21" s="34"/>
      <c r="X21" s="75"/>
      <c r="Y21" s="39"/>
      <c r="Z21" s="40"/>
      <c r="AA21" s="29"/>
      <c r="AB21" s="29"/>
      <c r="AC21" s="29"/>
      <c r="AD21" s="34"/>
      <c r="AE21" s="41"/>
      <c r="AF21" s="42"/>
      <c r="AG21" s="43"/>
      <c r="AH21" s="34">
        <f t="shared" si="3"/>
        <v>0</v>
      </c>
      <c r="AI21" s="44">
        <f t="shared" si="4"/>
        <v>0</v>
      </c>
      <c r="AJ21" s="45" t="e">
        <f t="shared" si="5"/>
        <v>#DIV/0!</v>
      </c>
      <c r="AK21" s="46" t="e">
        <f t="shared" si="6"/>
        <v>#DIV/0!</v>
      </c>
      <c r="AL21" s="46" t="e">
        <f t="shared" si="7"/>
        <v>#DIV/0!</v>
      </c>
      <c r="AM21" s="44" t="e">
        <f t="shared" si="8"/>
        <v>#DIV/0!</v>
      </c>
      <c r="AN21" s="47" t="e">
        <f t="shared" si="9"/>
        <v>#DIV/0!</v>
      </c>
      <c r="AO21" s="48"/>
      <c r="AP21" s="49"/>
      <c r="AQ21" s="50"/>
      <c r="AR21" s="50"/>
      <c r="AS21" s="38"/>
      <c r="AT21" s="38"/>
      <c r="AU21" s="51"/>
      <c r="AV21" s="51"/>
      <c r="AW21" s="38">
        <f t="shared" si="10"/>
        <v>0</v>
      </c>
      <c r="AX21" s="38">
        <f t="shared" si="11"/>
        <v>0</v>
      </c>
      <c r="AY21" s="52">
        <f t="shared" si="12"/>
        <v>0</v>
      </c>
      <c r="AZ21" s="58"/>
    </row>
    <row r="22" spans="1:52" ht="17.25" x14ac:dyDescent="0.4">
      <c r="A22" s="95"/>
      <c r="B22" s="60"/>
      <c r="C22" s="96"/>
      <c r="D22" s="29" t="s">
        <v>66</v>
      </c>
      <c r="E22" s="30" t="s">
        <v>90</v>
      </c>
      <c r="F22" s="96"/>
      <c r="G22" s="31"/>
      <c r="H22" s="33"/>
      <c r="I22" s="33"/>
      <c r="J22" s="33"/>
      <c r="K22" s="33"/>
      <c r="L22" s="33">
        <v>230</v>
      </c>
      <c r="M22" s="34">
        <f t="shared" si="0"/>
        <v>0</v>
      </c>
      <c r="N22" s="30" t="s">
        <v>68</v>
      </c>
      <c r="O22" s="29" t="s">
        <v>56</v>
      </c>
      <c r="P22" s="29" t="s">
        <v>66</v>
      </c>
      <c r="Q22" s="40"/>
      <c r="R22" s="36"/>
      <c r="S22" s="33">
        <f t="shared" si="1"/>
        <v>0</v>
      </c>
      <c r="T22" s="37"/>
      <c r="U22" s="41"/>
      <c r="V22" s="31"/>
      <c r="W22" s="33"/>
      <c r="X22" s="38"/>
      <c r="Y22" s="39"/>
      <c r="Z22" s="40"/>
      <c r="AA22" s="33"/>
      <c r="AB22" s="33"/>
      <c r="AC22" s="33"/>
      <c r="AD22" s="33"/>
      <c r="AE22" s="31"/>
      <c r="AF22" s="42"/>
      <c r="AG22" s="43"/>
      <c r="AH22" s="34">
        <f t="shared" si="3"/>
        <v>0</v>
      </c>
      <c r="AI22" s="44">
        <f t="shared" si="4"/>
        <v>0</v>
      </c>
      <c r="AJ22" s="45" t="e">
        <f t="shared" si="5"/>
        <v>#DIV/0!</v>
      </c>
      <c r="AK22" s="46" t="e">
        <f t="shared" si="6"/>
        <v>#DIV/0!</v>
      </c>
      <c r="AL22" s="46" t="e">
        <f t="shared" si="7"/>
        <v>#DIV/0!</v>
      </c>
      <c r="AM22" s="44" t="e">
        <f t="shared" si="8"/>
        <v>#DIV/0!</v>
      </c>
      <c r="AN22" s="47" t="e">
        <f t="shared" si="9"/>
        <v>#DIV/0!</v>
      </c>
      <c r="AO22" s="48"/>
      <c r="AP22" s="49"/>
      <c r="AQ22" s="50"/>
      <c r="AR22" s="50"/>
      <c r="AS22" s="38"/>
      <c r="AT22" s="38"/>
      <c r="AU22" s="51"/>
      <c r="AV22" s="51"/>
      <c r="AW22" s="38">
        <f t="shared" si="10"/>
        <v>0</v>
      </c>
      <c r="AX22" s="38">
        <f t="shared" si="11"/>
        <v>0</v>
      </c>
      <c r="AY22" s="52">
        <f t="shared" si="12"/>
        <v>0</v>
      </c>
      <c r="AZ22" s="58"/>
    </row>
    <row r="23" spans="1:52" ht="17.25" x14ac:dyDescent="0.4">
      <c r="A23" s="95"/>
      <c r="B23" s="60"/>
      <c r="C23" s="96"/>
      <c r="D23" s="29" t="s">
        <v>66</v>
      </c>
      <c r="E23" s="30" t="s">
        <v>91</v>
      </c>
      <c r="F23" s="96"/>
      <c r="G23" s="31"/>
      <c r="H23" s="33"/>
      <c r="I23" s="33"/>
      <c r="J23" s="33"/>
      <c r="K23" s="33"/>
      <c r="L23" s="33">
        <v>230</v>
      </c>
      <c r="M23" s="34">
        <f t="shared" si="0"/>
        <v>0</v>
      </c>
      <c r="N23" s="30" t="s">
        <v>68</v>
      </c>
      <c r="O23" s="29" t="s">
        <v>56</v>
      </c>
      <c r="P23" s="29" t="s">
        <v>66</v>
      </c>
      <c r="Q23" s="40"/>
      <c r="R23" s="36"/>
      <c r="S23" s="33">
        <f t="shared" si="1"/>
        <v>0</v>
      </c>
      <c r="T23" s="37"/>
      <c r="U23" s="41"/>
      <c r="V23" s="31"/>
      <c r="W23" s="33"/>
      <c r="X23" s="38"/>
      <c r="Y23" s="39"/>
      <c r="Z23" s="40"/>
      <c r="AA23" s="33"/>
      <c r="AB23" s="33"/>
      <c r="AC23" s="33"/>
      <c r="AD23" s="33"/>
      <c r="AE23" s="31"/>
      <c r="AF23" s="42"/>
      <c r="AG23" s="43"/>
      <c r="AH23" s="34">
        <f t="shared" si="3"/>
        <v>0</v>
      </c>
      <c r="AI23" s="44">
        <f t="shared" si="4"/>
        <v>0</v>
      </c>
      <c r="AJ23" s="45" t="e">
        <f t="shared" si="5"/>
        <v>#DIV/0!</v>
      </c>
      <c r="AK23" s="46" t="e">
        <f t="shared" si="6"/>
        <v>#DIV/0!</v>
      </c>
      <c r="AL23" s="46" t="e">
        <f t="shared" si="7"/>
        <v>#DIV/0!</v>
      </c>
      <c r="AM23" s="44" t="e">
        <f t="shared" si="8"/>
        <v>#DIV/0!</v>
      </c>
      <c r="AN23" s="47" t="e">
        <f t="shared" si="9"/>
        <v>#DIV/0!</v>
      </c>
      <c r="AO23" s="48"/>
      <c r="AP23" s="49"/>
      <c r="AQ23" s="50"/>
      <c r="AR23" s="50"/>
      <c r="AS23" s="38"/>
      <c r="AT23" s="38"/>
      <c r="AU23" s="51"/>
      <c r="AV23" s="51"/>
      <c r="AW23" s="38">
        <f t="shared" si="10"/>
        <v>0</v>
      </c>
      <c r="AX23" s="38">
        <f t="shared" si="11"/>
        <v>0</v>
      </c>
      <c r="AY23" s="52">
        <f t="shared" si="12"/>
        <v>0</v>
      </c>
      <c r="AZ23" s="58"/>
    </row>
    <row r="24" spans="1:52" ht="17.25" x14ac:dyDescent="0.4">
      <c r="A24" s="95"/>
      <c r="B24" s="60"/>
      <c r="C24" s="96"/>
      <c r="D24" s="29" t="s">
        <v>66</v>
      </c>
      <c r="E24" s="30" t="s">
        <v>92</v>
      </c>
      <c r="F24" s="96"/>
      <c r="G24" s="31"/>
      <c r="H24" s="33"/>
      <c r="I24" s="33"/>
      <c r="J24" s="33"/>
      <c r="K24" s="33"/>
      <c r="L24" s="33">
        <v>230</v>
      </c>
      <c r="M24" s="34">
        <f t="shared" si="0"/>
        <v>0</v>
      </c>
      <c r="N24" s="30" t="s">
        <v>68</v>
      </c>
      <c r="O24" s="29" t="s">
        <v>56</v>
      </c>
      <c r="P24" s="29" t="s">
        <v>66</v>
      </c>
      <c r="Q24" s="40"/>
      <c r="R24" s="36"/>
      <c r="S24" s="33">
        <f t="shared" si="1"/>
        <v>0</v>
      </c>
      <c r="T24" s="37"/>
      <c r="U24" s="41"/>
      <c r="V24" s="31"/>
      <c r="W24" s="33"/>
      <c r="X24" s="38"/>
      <c r="Y24" s="39"/>
      <c r="Z24" s="40"/>
      <c r="AA24" s="33"/>
      <c r="AB24" s="33"/>
      <c r="AC24" s="33"/>
      <c r="AD24" s="33"/>
      <c r="AE24" s="31"/>
      <c r="AF24" s="42"/>
      <c r="AG24" s="43"/>
      <c r="AH24" s="34">
        <f t="shared" si="3"/>
        <v>0</v>
      </c>
      <c r="AI24" s="44">
        <f t="shared" si="4"/>
        <v>0</v>
      </c>
      <c r="AJ24" s="45" t="e">
        <f t="shared" si="5"/>
        <v>#DIV/0!</v>
      </c>
      <c r="AK24" s="46" t="e">
        <f t="shared" si="6"/>
        <v>#DIV/0!</v>
      </c>
      <c r="AL24" s="46" t="e">
        <f t="shared" si="7"/>
        <v>#DIV/0!</v>
      </c>
      <c r="AM24" s="44" t="e">
        <f t="shared" si="8"/>
        <v>#DIV/0!</v>
      </c>
      <c r="AN24" s="47" t="e">
        <f t="shared" si="9"/>
        <v>#DIV/0!</v>
      </c>
      <c r="AO24" s="48"/>
      <c r="AP24" s="49"/>
      <c r="AQ24" s="50"/>
      <c r="AR24" s="50"/>
      <c r="AS24" s="38"/>
      <c r="AT24" s="38"/>
      <c r="AU24" s="51"/>
      <c r="AV24" s="51"/>
      <c r="AW24" s="38">
        <f t="shared" si="10"/>
        <v>0</v>
      </c>
      <c r="AX24" s="38">
        <f t="shared" si="11"/>
        <v>0</v>
      </c>
      <c r="AY24" s="52">
        <f t="shared" si="12"/>
        <v>0</v>
      </c>
      <c r="AZ24" s="58"/>
    </row>
    <row r="25" spans="1:52" ht="17.25" x14ac:dyDescent="0.4">
      <c r="A25" s="95"/>
      <c r="B25" s="60"/>
      <c r="C25" s="96"/>
      <c r="D25" s="29" t="s">
        <v>66</v>
      </c>
      <c r="E25" s="30" t="s">
        <v>93</v>
      </c>
      <c r="F25" s="96"/>
      <c r="G25" s="31"/>
      <c r="H25" s="33"/>
      <c r="I25" s="33"/>
      <c r="J25" s="33"/>
      <c r="K25" s="33"/>
      <c r="L25" s="33">
        <v>230</v>
      </c>
      <c r="M25" s="34">
        <f t="shared" si="0"/>
        <v>0</v>
      </c>
      <c r="N25" s="30" t="s">
        <v>68</v>
      </c>
      <c r="O25" s="29" t="s">
        <v>56</v>
      </c>
      <c r="P25" s="29" t="s">
        <v>66</v>
      </c>
      <c r="Q25" s="40"/>
      <c r="R25" s="36"/>
      <c r="S25" s="33">
        <f t="shared" si="1"/>
        <v>0</v>
      </c>
      <c r="T25" s="37"/>
      <c r="U25" s="41"/>
      <c r="V25" s="31"/>
      <c r="W25" s="33"/>
      <c r="X25" s="38"/>
      <c r="Y25" s="39"/>
      <c r="Z25" s="40"/>
      <c r="AA25" s="33"/>
      <c r="AB25" s="33"/>
      <c r="AC25" s="33"/>
      <c r="AD25" s="33"/>
      <c r="AE25" s="31"/>
      <c r="AF25" s="42"/>
      <c r="AG25" s="43"/>
      <c r="AH25" s="34">
        <f t="shared" si="3"/>
        <v>0</v>
      </c>
      <c r="AI25" s="44">
        <f t="shared" si="4"/>
        <v>0</v>
      </c>
      <c r="AJ25" s="45" t="e">
        <f t="shared" si="5"/>
        <v>#DIV/0!</v>
      </c>
      <c r="AK25" s="46" t="e">
        <f t="shared" si="6"/>
        <v>#DIV/0!</v>
      </c>
      <c r="AL25" s="46" t="e">
        <f t="shared" si="7"/>
        <v>#DIV/0!</v>
      </c>
      <c r="AM25" s="44" t="e">
        <f t="shared" si="8"/>
        <v>#DIV/0!</v>
      </c>
      <c r="AN25" s="47" t="e">
        <f t="shared" si="9"/>
        <v>#DIV/0!</v>
      </c>
      <c r="AO25" s="48"/>
      <c r="AP25" s="49"/>
      <c r="AQ25" s="50"/>
      <c r="AR25" s="50"/>
      <c r="AS25" s="38"/>
      <c r="AT25" s="38"/>
      <c r="AU25" s="51"/>
      <c r="AV25" s="51"/>
      <c r="AW25" s="38">
        <f t="shared" si="10"/>
        <v>0</v>
      </c>
      <c r="AX25" s="38">
        <f t="shared" si="11"/>
        <v>0</v>
      </c>
      <c r="AY25" s="52">
        <f t="shared" si="12"/>
        <v>0</v>
      </c>
      <c r="AZ25" s="58"/>
    </row>
    <row r="26" spans="1:52" ht="17.25" x14ac:dyDescent="0.4">
      <c r="A26" s="95"/>
      <c r="B26" s="60"/>
      <c r="C26" s="96"/>
      <c r="D26" s="29" t="s">
        <v>66</v>
      </c>
      <c r="E26" s="30" t="s">
        <v>94</v>
      </c>
      <c r="F26" s="96"/>
      <c r="G26" s="31"/>
      <c r="H26" s="33"/>
      <c r="I26" s="33"/>
      <c r="J26" s="33"/>
      <c r="K26" s="33"/>
      <c r="L26" s="33">
        <v>230</v>
      </c>
      <c r="M26" s="34">
        <f t="shared" si="0"/>
        <v>0</v>
      </c>
      <c r="N26" s="30" t="s">
        <v>68</v>
      </c>
      <c r="O26" s="29" t="s">
        <v>56</v>
      </c>
      <c r="P26" s="29" t="s">
        <v>66</v>
      </c>
      <c r="Q26" s="40"/>
      <c r="R26" s="36"/>
      <c r="S26" s="33">
        <f t="shared" si="1"/>
        <v>0</v>
      </c>
      <c r="T26" s="37"/>
      <c r="U26" s="41"/>
      <c r="V26" s="31"/>
      <c r="W26" s="33"/>
      <c r="X26" s="38"/>
      <c r="Y26" s="39"/>
      <c r="Z26" s="40"/>
      <c r="AA26" s="33"/>
      <c r="AB26" s="33"/>
      <c r="AC26" s="33"/>
      <c r="AD26" s="33"/>
      <c r="AE26" s="31"/>
      <c r="AF26" s="42"/>
      <c r="AG26" s="43"/>
      <c r="AH26" s="34">
        <f t="shared" si="3"/>
        <v>0</v>
      </c>
      <c r="AI26" s="44">
        <f t="shared" si="4"/>
        <v>0</v>
      </c>
      <c r="AJ26" s="45" t="e">
        <f t="shared" si="5"/>
        <v>#DIV/0!</v>
      </c>
      <c r="AK26" s="46" t="e">
        <f t="shared" si="6"/>
        <v>#DIV/0!</v>
      </c>
      <c r="AL26" s="46" t="e">
        <f t="shared" si="7"/>
        <v>#DIV/0!</v>
      </c>
      <c r="AM26" s="44" t="e">
        <f t="shared" si="8"/>
        <v>#DIV/0!</v>
      </c>
      <c r="AN26" s="47" t="e">
        <f t="shared" si="9"/>
        <v>#DIV/0!</v>
      </c>
      <c r="AO26" s="48"/>
      <c r="AP26" s="49"/>
      <c r="AQ26" s="50"/>
      <c r="AR26" s="50"/>
      <c r="AS26" s="38"/>
      <c r="AT26" s="38"/>
      <c r="AU26" s="51"/>
      <c r="AV26" s="51"/>
      <c r="AW26" s="38">
        <f t="shared" si="10"/>
        <v>0</v>
      </c>
      <c r="AX26" s="38">
        <f t="shared" si="11"/>
        <v>0</v>
      </c>
      <c r="AY26" s="52">
        <f t="shared" si="12"/>
        <v>0</v>
      </c>
      <c r="AZ26" s="58"/>
    </row>
    <row r="27" spans="1:52" ht="17.25" x14ac:dyDescent="0.4">
      <c r="A27" s="95"/>
      <c r="B27" s="60"/>
      <c r="C27" s="96"/>
      <c r="D27" s="29" t="s">
        <v>66</v>
      </c>
      <c r="E27" s="30" t="s">
        <v>95</v>
      </c>
      <c r="F27" s="96"/>
      <c r="G27" s="31"/>
      <c r="H27" s="33"/>
      <c r="I27" s="33"/>
      <c r="J27" s="33"/>
      <c r="K27" s="33"/>
      <c r="L27" s="33">
        <v>230</v>
      </c>
      <c r="M27" s="34">
        <f t="shared" si="0"/>
        <v>0</v>
      </c>
      <c r="N27" s="30" t="s">
        <v>68</v>
      </c>
      <c r="O27" s="29" t="s">
        <v>56</v>
      </c>
      <c r="P27" s="29" t="s">
        <v>66</v>
      </c>
      <c r="Q27" s="40"/>
      <c r="R27" s="84"/>
      <c r="S27" s="33">
        <f t="shared" si="1"/>
        <v>0</v>
      </c>
      <c r="T27" s="37"/>
      <c r="U27" s="41"/>
      <c r="V27" s="31"/>
      <c r="W27" s="33"/>
      <c r="X27" s="38"/>
      <c r="Y27" s="39"/>
      <c r="Z27" s="40"/>
      <c r="AA27" s="33"/>
      <c r="AB27" s="33"/>
      <c r="AC27" s="33"/>
      <c r="AD27" s="33"/>
      <c r="AE27" s="31"/>
      <c r="AF27" s="42"/>
      <c r="AG27" s="43"/>
      <c r="AH27" s="34">
        <f t="shared" si="3"/>
        <v>0</v>
      </c>
      <c r="AI27" s="44">
        <f t="shared" si="4"/>
        <v>0</v>
      </c>
      <c r="AJ27" s="45" t="e">
        <f t="shared" si="5"/>
        <v>#DIV/0!</v>
      </c>
      <c r="AK27" s="46" t="e">
        <f t="shared" si="6"/>
        <v>#DIV/0!</v>
      </c>
      <c r="AL27" s="46" t="e">
        <f t="shared" si="7"/>
        <v>#DIV/0!</v>
      </c>
      <c r="AM27" s="44" t="e">
        <f t="shared" si="8"/>
        <v>#DIV/0!</v>
      </c>
      <c r="AN27" s="47" t="e">
        <f t="shared" si="9"/>
        <v>#DIV/0!</v>
      </c>
      <c r="AO27" s="48"/>
      <c r="AP27" s="49"/>
      <c r="AQ27" s="50"/>
      <c r="AR27" s="50"/>
      <c r="AS27" s="38"/>
      <c r="AT27" s="38"/>
      <c r="AU27" s="51"/>
      <c r="AV27" s="51"/>
      <c r="AW27" s="38">
        <f t="shared" si="10"/>
        <v>0</v>
      </c>
      <c r="AX27" s="38">
        <f t="shared" si="11"/>
        <v>0</v>
      </c>
      <c r="AY27" s="52">
        <f t="shared" si="12"/>
        <v>0</v>
      </c>
      <c r="AZ27" s="58"/>
    </row>
    <row r="28" spans="1:52" ht="17.25" x14ac:dyDescent="0.4">
      <c r="A28" s="97"/>
      <c r="B28" s="98"/>
      <c r="C28" s="80"/>
      <c r="D28" s="29" t="s">
        <v>66</v>
      </c>
      <c r="E28" s="30" t="s">
        <v>96</v>
      </c>
      <c r="F28" s="80"/>
      <c r="G28" s="41"/>
      <c r="H28" s="99"/>
      <c r="I28" s="34"/>
      <c r="J28" s="34"/>
      <c r="K28" s="34"/>
      <c r="L28" s="33">
        <v>230</v>
      </c>
      <c r="M28" s="34">
        <f t="shared" si="0"/>
        <v>0</v>
      </c>
      <c r="N28" s="30" t="s">
        <v>68</v>
      </c>
      <c r="O28" s="29" t="s">
        <v>56</v>
      </c>
      <c r="P28" s="29" t="s">
        <v>66</v>
      </c>
      <c r="Q28" s="100"/>
      <c r="R28" s="36"/>
      <c r="S28" s="33">
        <f t="shared" si="1"/>
        <v>0</v>
      </c>
      <c r="T28" s="83"/>
      <c r="U28" s="41"/>
      <c r="V28" s="41"/>
      <c r="W28" s="34"/>
      <c r="X28" s="75"/>
      <c r="Y28" s="101"/>
      <c r="Z28" s="83"/>
      <c r="AA28" s="102"/>
      <c r="AB28" s="102"/>
      <c r="AC28" s="102"/>
      <c r="AD28" s="34"/>
      <c r="AE28" s="41"/>
      <c r="AF28" s="85"/>
      <c r="AG28" s="86"/>
      <c r="AH28" s="34">
        <f t="shared" si="3"/>
        <v>0</v>
      </c>
      <c r="AI28" s="44">
        <f t="shared" si="4"/>
        <v>0</v>
      </c>
      <c r="AJ28" s="45" t="e">
        <f t="shared" si="5"/>
        <v>#DIV/0!</v>
      </c>
      <c r="AK28" s="46" t="e">
        <f t="shared" si="6"/>
        <v>#DIV/0!</v>
      </c>
      <c r="AL28" s="46" t="e">
        <f t="shared" si="7"/>
        <v>#DIV/0!</v>
      </c>
      <c r="AM28" s="44" t="e">
        <f t="shared" si="8"/>
        <v>#DIV/0!</v>
      </c>
      <c r="AN28" s="47" t="e">
        <f t="shared" si="9"/>
        <v>#DIV/0!</v>
      </c>
      <c r="AO28" s="87"/>
      <c r="AP28" s="88"/>
      <c r="AQ28" s="89"/>
      <c r="AR28" s="89"/>
      <c r="AS28" s="75"/>
      <c r="AT28" s="90"/>
      <c r="AU28" s="91"/>
      <c r="AV28" s="91"/>
      <c r="AW28" s="38">
        <f t="shared" si="10"/>
        <v>0</v>
      </c>
      <c r="AX28" s="38">
        <f t="shared" si="11"/>
        <v>0</v>
      </c>
      <c r="AY28" s="52">
        <f t="shared" si="12"/>
        <v>0</v>
      </c>
      <c r="AZ28" s="103"/>
    </row>
  </sheetData>
  <mergeCells count="48">
    <mergeCell ref="AU2:AU3"/>
    <mergeCell ref="AV2:AV3"/>
    <mergeCell ref="AW2:AW3"/>
    <mergeCell ref="AX2:AX3"/>
    <mergeCell ref="AY2:AY3"/>
    <mergeCell ref="AC2:AC3"/>
    <mergeCell ref="AD2:AD3"/>
    <mergeCell ref="AE2:AE3"/>
    <mergeCell ref="AH2:AH3"/>
    <mergeCell ref="AT2:AT3"/>
    <mergeCell ref="AI2:AI3"/>
    <mergeCell ref="AJ2:AJ3"/>
    <mergeCell ref="AK2:AK3"/>
    <mergeCell ref="AL2:AL3"/>
    <mergeCell ref="AM2:AM3"/>
    <mergeCell ref="AN2:AN3"/>
    <mergeCell ref="AS2:AS3"/>
    <mergeCell ref="W2:W3"/>
    <mergeCell ref="X2:X3"/>
    <mergeCell ref="Y2:Y3"/>
    <mergeCell ref="AA2:AA3"/>
    <mergeCell ref="AB2:AB3"/>
    <mergeCell ref="P2:P3"/>
    <mergeCell ref="R2:R3"/>
    <mergeCell ref="S2:S3"/>
    <mergeCell ref="U2:U3"/>
    <mergeCell ref="V2:V3"/>
    <mergeCell ref="AP1:AQ1"/>
    <mergeCell ref="AS1:AY1"/>
    <mergeCell ref="A1:A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C1:P1"/>
    <mergeCell ref="R1:S1"/>
    <mergeCell ref="U1:Y1"/>
    <mergeCell ref="AA1:AE1"/>
    <mergeCell ref="AH1:AN1"/>
  </mergeCells>
  <dataValidations count="3">
    <dataValidation type="list" allowBlank="1" showErrorMessage="1" sqref="E4:E28" xr:uid="{00000000-0002-0000-0100-000000000000}">
      <formula1>"-,0,до 5,до 15,до 50,от 50"</formula1>
    </dataValidation>
    <dataValidation type="list" allowBlank="1" showErrorMessage="1" sqref="D4:D28 O4:P28" xr:uid="{00000000-0002-0000-0100-000001000000}">
      <formula1>"ДА,НЕТ,-"</formula1>
    </dataValidation>
    <dataValidation type="list" allowBlank="1" showErrorMessage="1" sqref="N4:N28" xr:uid="{00000000-0002-0000-0100-000002000000}">
      <formula1>"-,Сертификат соответствия,Отказное письмо или добровольный сертификат,Декларация о соответствии"</formula1>
    </dataValidation>
  </dataValidations>
  <hyperlinks>
    <hyperlink ref="N2" location="null!A1" display="Разрешит._x000a_документация" xr:uid="{00000000-0004-0000-0100-000000000000}"/>
    <hyperlink ref="P2" location="null!A1" display="Нужна ли маркировка - честный знак?" xr:uid="{00000000-0004-0000-0100-000001000000}"/>
    <hyperlink ref="U2" location="null!A1" display="Процент_x000a_выкупа" xr:uid="{00000000-0004-0000-0100-000002000000}"/>
    <hyperlink ref="V2" location="null!A1" display="Комиссия WB" xr:uid="{00000000-0004-0000-0100-000003000000}"/>
    <hyperlink ref="W2" location="null!A1" display="Логистика" xr:uid="{00000000-0004-0000-0100-000004000000}"/>
    <hyperlink ref="X2" location="null!A1" display="Стоимость хранения в день" xr:uid="{00000000-0004-0000-0100-000005000000}"/>
    <hyperlink ref="C5" r:id="rId1" xr:uid="{00000000-0004-0000-0100-000006000000}"/>
    <hyperlink ref="F5" r:id="rId2" xr:uid="{00000000-0004-0000-0100-000007000000}"/>
    <hyperlink ref="C6" r:id="rId3" xr:uid="{00000000-0004-0000-0100-000008000000}"/>
    <hyperlink ref="F6" r:id="rId4" xr:uid="{00000000-0004-0000-0100-000009000000}"/>
    <hyperlink ref="C7" r:id="rId5" xr:uid="{00000000-0004-0000-0100-00000A000000}"/>
    <hyperlink ref="F7" r:id="rId6" xr:uid="{00000000-0004-0000-0100-00000B000000}"/>
    <hyperlink ref="C9" r:id="rId7" xr:uid="{00000000-0004-0000-0100-00000C000000}"/>
    <hyperlink ref="F9" r:id="rId8" xr:uid="{00000000-0004-0000-0100-00000D000000}"/>
    <hyperlink ref="C10" r:id="rId9" xr:uid="{00000000-0004-0000-0100-00000E000000}"/>
    <hyperlink ref="F10" r:id="rId10" xr:uid="{00000000-0004-0000-0100-00000F000000}"/>
    <hyperlink ref="C11" r:id="rId11" xr:uid="{00000000-0004-0000-0100-000010000000}"/>
    <hyperlink ref="F11" r:id="rId12" xr:uid="{00000000-0004-0000-0100-000011000000}"/>
  </hyperlinks>
  <pageMargins left="0.7" right="0.7" top="0.78740157499999996" bottom="0.78740157499999996" header="0.3" footer="0.3"/>
  <legacy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Инструкция</vt:lpstr>
      <vt:lpstr>Подбор товара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Ulmer</dc:creator>
  <cp:lastModifiedBy>Stanislav Ulmer</cp:lastModifiedBy>
  <dcterms:created xsi:type="dcterms:W3CDTF">2025-12-02T16:34:56Z</dcterms:created>
  <dcterms:modified xsi:type="dcterms:W3CDTF">2025-12-02T16:34:56Z</dcterms:modified>
</cp:coreProperties>
</file>